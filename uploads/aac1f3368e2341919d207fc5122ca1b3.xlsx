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2399586\VScode\ExcelToPpt\Files\"/>
    </mc:Choice>
  </mc:AlternateContent>
  <xr:revisionPtr revIDLastSave="0" documentId="13_ncr:1_{77E932EE-70B9-46F8-94D8-D50280CED661}" xr6:coauthVersionLast="47" xr6:coauthVersionMax="47" xr10:uidLastSave="{00000000-0000-0000-0000-000000000000}"/>
  <bookViews>
    <workbookView xWindow="-110" yWindow="-110" windowWidth="19420" windowHeight="11500" tabRatio="721" firstSheet="3" activeTab="6" xr2:uid="{00000000-000D-0000-FFFF-FFFF00000000}"/>
  </bookViews>
  <sheets>
    <sheet name="NOC INC - Response &amp; Resolution" sheetId="8" state="hidden" r:id="rId1"/>
    <sheet name="SOC INC- Response &amp; Resolutio" sheetId="58" state="hidden" r:id="rId2"/>
    <sheet name="Volumetric trends INC &amp; RITM" sheetId="59" r:id="rId3"/>
    <sheet name="Created" sheetId="73" r:id="rId4"/>
    <sheet name="Pending Counts" sheetId="69" r:id="rId5"/>
    <sheet name="Volumetric Change details" sheetId="61" r:id="rId6"/>
    <sheet name="Business Services" sheetId="62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xlnm._FilterDatabase" localSheetId="6" hidden="1">'Business Services'!$A$38:$BA$38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J50" i="62" l="1"/>
  <c r="FJ35" i="62"/>
  <c r="FJ17" i="62"/>
  <c r="FI50" i="62" l="1"/>
  <c r="FI35" i="62"/>
  <c r="FI17" i="62"/>
  <c r="BO50" i="62" l="1"/>
  <c r="BO35" i="62"/>
  <c r="BO17" i="62"/>
  <c r="BQ18" i="61"/>
  <c r="BP18" i="61"/>
  <c r="BR7" i="59"/>
  <c r="BL50" i="62"/>
  <c r="BM50" i="62"/>
  <c r="BL35" i="62"/>
  <c r="BM35" i="62"/>
  <c r="BL17" i="62"/>
  <c r="BM17" i="62"/>
  <c r="BO18" i="61"/>
  <c r="BO9" i="61"/>
  <c r="BP9" i="61"/>
  <c r="BQ9" i="61"/>
  <c r="AQ10" i="73"/>
  <c r="BN15" i="59"/>
  <c r="BN7" i="59"/>
  <c r="BO15" i="59"/>
  <c r="BP15" i="59"/>
  <c r="J65" i="69" l="1"/>
  <c r="BJ50" i="62"/>
  <c r="BJ35" i="62"/>
  <c r="BJ17" i="62"/>
  <c r="BN18" i="61"/>
  <c r="BN9" i="61"/>
  <c r="BM15" i="59"/>
  <c r="BM7" i="59"/>
  <c r="BK50" i="62" l="1"/>
  <c r="BK35" i="62"/>
  <c r="BK17" i="62" l="1"/>
  <c r="AY21" i="62" l="1"/>
  <c r="AY22" i="62"/>
  <c r="AY23" i="62"/>
  <c r="AY26" i="62"/>
  <c r="AY27" i="62"/>
  <c r="AY28" i="62"/>
  <c r="AY31" i="62"/>
  <c r="AY34" i="62"/>
  <c r="AZ21" i="62"/>
  <c r="AZ22" i="62"/>
  <c r="AZ23" i="62"/>
  <c r="AZ27" i="62"/>
  <c r="AZ28" i="62"/>
  <c r="AZ31" i="62"/>
  <c r="AZ34" i="62"/>
  <c r="AU50" i="62"/>
  <c r="AV50" i="62"/>
  <c r="AW50" i="62"/>
  <c r="AX50" i="62"/>
  <c r="AT50" i="62"/>
  <c r="AY39" i="62"/>
  <c r="AY40" i="62"/>
  <c r="AY45" i="62"/>
  <c r="AY49" i="62"/>
  <c r="AU35" i="62"/>
  <c r="AV35" i="62"/>
  <c r="AW35" i="62"/>
  <c r="AX35" i="62"/>
  <c r="AT35" i="62"/>
  <c r="BA21" i="62"/>
  <c r="BA22" i="62"/>
  <c r="BA23" i="62"/>
  <c r="BA26" i="62"/>
  <c r="BA27" i="62"/>
  <c r="BA28" i="62"/>
  <c r="BA29" i="62"/>
  <c r="BA31" i="62"/>
  <c r="BA34" i="62"/>
  <c r="BA39" i="62"/>
  <c r="BA40" i="62"/>
  <c r="BA44" i="62"/>
  <c r="BA45" i="62"/>
  <c r="BA49" i="62"/>
  <c r="AZ39" i="62"/>
  <c r="AZ40" i="62"/>
  <c r="AZ45" i="62"/>
  <c r="AZ47" i="62"/>
  <c r="AZ49" i="62"/>
  <c r="BB18" i="61"/>
  <c r="BD18" i="61"/>
  <c r="BE18" i="61"/>
  <c r="BD9" i="61"/>
  <c r="BE9" i="61"/>
  <c r="BB9" i="61"/>
  <c r="BC9" i="61"/>
  <c r="AY2" i="62"/>
  <c r="AY3" i="62"/>
  <c r="AY4" i="62"/>
  <c r="AY6" i="62"/>
  <c r="AY7" i="62"/>
  <c r="AY11" i="62"/>
  <c r="AY12" i="62"/>
  <c r="AY16" i="62"/>
  <c r="BA3" i="62"/>
  <c r="BA4" i="62"/>
  <c r="BA6" i="62"/>
  <c r="BA7" i="62"/>
  <c r="BA10" i="62"/>
  <c r="BA11" i="62"/>
  <c r="BA12" i="62"/>
  <c r="BA16" i="62"/>
  <c r="AU17" i="62"/>
  <c r="AV17" i="62"/>
  <c r="AW17" i="62"/>
  <c r="AX17" i="62"/>
  <c r="AT17" i="62"/>
  <c r="AZ12" i="62"/>
  <c r="AZ16" i="62"/>
  <c r="AZ4" i="62"/>
  <c r="AZ6" i="62"/>
  <c r="AZ3" i="62"/>
  <c r="BA7" i="59"/>
  <c r="BB7" i="59"/>
  <c r="BC7" i="59"/>
  <c r="BD7" i="59"/>
  <c r="BA15" i="59"/>
  <c r="BB15" i="59"/>
  <c r="BC15" i="59"/>
  <c r="BD15" i="59"/>
  <c r="BA18" i="61"/>
  <c r="BA9" i="61"/>
  <c r="AZ15" i="59"/>
  <c r="AZ7" i="59"/>
  <c r="AY35" i="62" l="1"/>
  <c r="AZ35" i="62"/>
  <c r="AY50" i="62"/>
  <c r="BA50" i="62"/>
  <c r="AZ50" i="62"/>
  <c r="BA35" i="62"/>
  <c r="AZ17" i="62"/>
  <c r="AY17" i="62"/>
  <c r="BA17" i="62"/>
  <c r="AZ18" i="61"/>
  <c r="AZ9" i="61"/>
  <c r="AY15" i="59"/>
  <c r="AY7" i="59"/>
  <c r="AY9" i="61" l="1"/>
  <c r="AX18" i="61"/>
  <c r="AY18" i="61"/>
  <c r="AX9" i="61"/>
  <c r="AW15" i="59"/>
  <c r="AX15" i="59"/>
  <c r="AW7" i="59"/>
  <c r="AX7" i="59"/>
  <c r="AW18" i="61"/>
  <c r="AW9" i="61"/>
  <c r="AV15" i="59"/>
  <c r="AV7" i="59"/>
  <c r="AR17" i="62"/>
  <c r="AR35" i="62" s="1"/>
  <c r="AR50" i="62" s="1"/>
  <c r="AV18" i="61"/>
  <c r="AV9" i="61"/>
  <c r="AU15" i="59"/>
  <c r="AU7" i="59"/>
  <c r="AS17" i="62" l="1"/>
  <c r="AS35" i="62" s="1"/>
  <c r="AS50" i="62" s="1"/>
  <c r="AQ17" i="62" l="1"/>
  <c r="AQ35" i="62" s="1"/>
  <c r="AQ50" i="62" s="1"/>
  <c r="AU18" i="61"/>
  <c r="AU9" i="61"/>
  <c r="AT15" i="59"/>
  <c r="AT7" i="59"/>
  <c r="AT18" i="61"/>
  <c r="AT9" i="61"/>
  <c r="AS15" i="59"/>
  <c r="AS7" i="59"/>
  <c r="AR15" i="59"/>
  <c r="AR7" i="59"/>
  <c r="AS18" i="61"/>
  <c r="AS9" i="61"/>
  <c r="AN49" i="62"/>
  <c r="AN45" i="62"/>
  <c r="AN27" i="62"/>
  <c r="AN28" i="62"/>
  <c r="AN29" i="62"/>
  <c r="AN34" i="62"/>
  <c r="AN17" i="62"/>
  <c r="AR9" i="61"/>
  <c r="AR18" i="61"/>
  <c r="AQ15" i="59"/>
  <c r="AQ7" i="59"/>
  <c r="AQ9" i="61"/>
  <c r="AQ18" i="61"/>
  <c r="AP15" i="59"/>
  <c r="AP7" i="59"/>
  <c r="AP17" i="62" l="1"/>
  <c r="AP35" i="62" s="1"/>
  <c r="AP50" i="62" s="1"/>
  <c r="AO17" i="62"/>
  <c r="AO35" i="62" s="1"/>
  <c r="AO50" i="62" s="1"/>
  <c r="AN35" i="62"/>
  <c r="AN50" i="62" s="1"/>
  <c r="AM17" i="62"/>
  <c r="AM35" i="62" s="1"/>
  <c r="AM50" i="62" s="1"/>
  <c r="AL49" i="62" l="1"/>
  <c r="AL45" i="62"/>
  <c r="AP18" i="61"/>
  <c r="AP9" i="61"/>
  <c r="AO7" i="59"/>
  <c r="AO15" i="59"/>
  <c r="AO18" i="61"/>
  <c r="AO9" i="61"/>
  <c r="AN15" i="59"/>
  <c r="AN7" i="59"/>
  <c r="AL18" i="61"/>
  <c r="AM18" i="61"/>
  <c r="AN18" i="61"/>
  <c r="AL9" i="61"/>
  <c r="AM9" i="61"/>
  <c r="AN9" i="61"/>
  <c r="AL17" i="62" l="1"/>
  <c r="AL35" i="62" s="1"/>
  <c r="AL50" i="62" s="1"/>
  <c r="AK17" i="62"/>
  <c r="AK35" i="62" s="1"/>
  <c r="AK50" i="62" s="1"/>
  <c r="AJ17" i="62"/>
  <c r="AJ35" i="62" s="1"/>
  <c r="AJ50" i="62" s="1"/>
  <c r="AI17" i="62"/>
  <c r="AI35" i="62" s="1"/>
  <c r="AI50" i="62" s="1"/>
  <c r="AH17" i="62"/>
  <c r="AH35" i="62" s="1"/>
  <c r="AH50" i="62" s="1"/>
  <c r="AK15" i="59" l="1"/>
  <c r="AL15" i="59"/>
  <c r="AM15" i="59"/>
  <c r="AK7" i="59"/>
  <c r="AL7" i="59"/>
  <c r="AM7" i="59"/>
  <c r="AK18" i="61"/>
  <c r="AK9" i="61"/>
  <c r="AJ15" i="59"/>
  <c r="AJ7" i="59"/>
  <c r="AJ18" i="61"/>
  <c r="AJ9" i="61"/>
  <c r="AI15" i="59"/>
  <c r="AI7" i="59"/>
  <c r="AG17" i="62" l="1"/>
  <c r="AG35" i="62" s="1"/>
  <c r="AG50" i="62" s="1"/>
  <c r="AF17" i="62"/>
  <c r="AF35" i="62" s="1"/>
  <c r="AF50" i="62" s="1"/>
  <c r="AH18" i="61"/>
  <c r="AI18" i="61"/>
  <c r="AH9" i="61"/>
  <c r="AI9" i="61"/>
  <c r="AH15" i="59"/>
  <c r="AG15" i="59"/>
  <c r="AH7" i="59"/>
  <c r="AG7" i="59"/>
  <c r="AE17" i="62" l="1"/>
  <c r="AE35" i="62" s="1"/>
  <c r="AE50" i="62" s="1"/>
  <c r="AD17" i="62"/>
  <c r="AD35" i="62" s="1"/>
  <c r="AD50" i="62" s="1"/>
  <c r="AG9" i="61" l="1"/>
  <c r="AF7" i="59"/>
  <c r="AF15" i="59"/>
  <c r="AF18" i="61"/>
  <c r="AG18" i="61"/>
  <c r="AF9" i="61"/>
  <c r="AE15" i="59"/>
  <c r="AE7" i="59"/>
  <c r="AC17" i="62" l="1"/>
  <c r="AC35" i="62" s="1"/>
  <c r="AC50" i="62" s="1"/>
  <c r="AB17" i="62"/>
  <c r="AB35" i="62" s="1"/>
  <c r="AB50" i="62" s="1"/>
  <c r="AD18" i="61"/>
  <c r="AE18" i="61"/>
  <c r="AD9" i="61"/>
  <c r="AE9" i="61"/>
  <c r="AC15" i="59"/>
  <c r="AD15" i="59"/>
  <c r="AC7" i="59"/>
  <c r="AD7" i="59"/>
  <c r="AA17" i="62" l="1"/>
  <c r="AA35" i="62" s="1"/>
  <c r="AA50" i="62" s="1"/>
  <c r="Z17" i="62"/>
  <c r="Z35" i="62" s="1"/>
  <c r="Z50" i="62" s="1"/>
  <c r="AC18" i="61" l="1"/>
  <c r="AC9" i="61"/>
  <c r="AB15" i="59"/>
  <c r="AB7" i="59"/>
  <c r="AB18" i="61"/>
  <c r="AB9" i="61"/>
  <c r="AA15" i="59"/>
  <c r="AA7" i="59"/>
  <c r="AA18" i="61"/>
  <c r="AA9" i="61"/>
  <c r="Z15" i="59"/>
  <c r="Z7" i="59"/>
  <c r="V17" i="62"/>
  <c r="V35" i="62" s="1"/>
  <c r="V50" i="62" s="1"/>
  <c r="Z18" i="61"/>
  <c r="Z9" i="61"/>
  <c r="Y15" i="59"/>
  <c r="Y7" i="59"/>
  <c r="Y18" i="61"/>
  <c r="Y9" i="61"/>
  <c r="X15" i="59"/>
  <c r="X7" i="59"/>
  <c r="Y17" i="62" l="1"/>
  <c r="Y35" i="62" s="1"/>
  <c r="Y50" i="62" s="1"/>
  <c r="X17" i="62"/>
  <c r="X35" i="62" s="1"/>
  <c r="X50" i="62" s="1"/>
  <c r="W17" i="62"/>
  <c r="W35" i="62" s="1"/>
  <c r="W50" i="62" s="1"/>
  <c r="U17" i="62"/>
  <c r="U35" i="62" s="1"/>
  <c r="U50" i="62" s="1"/>
  <c r="X18" i="61"/>
  <c r="X9" i="61"/>
  <c r="T35" i="62" l="1"/>
  <c r="T50" i="62" s="1"/>
  <c r="W15" i="59"/>
  <c r="W7" i="59"/>
  <c r="S17" i="62" l="1"/>
  <c r="S35" i="62" s="1"/>
  <c r="S50" i="62" s="1"/>
  <c r="W18" i="61"/>
  <c r="W9" i="61"/>
  <c r="V15" i="59" l="1"/>
  <c r="V7" i="59"/>
  <c r="V18" i="61" l="1"/>
  <c r="V9" i="61"/>
  <c r="R17" i="62" l="1"/>
  <c r="R35" i="62" s="1"/>
  <c r="R50" i="62" s="1"/>
  <c r="U15" i="59"/>
  <c r="U7" i="59"/>
  <c r="P17" i="62" l="1"/>
  <c r="Q17" i="62"/>
  <c r="P35" i="62" l="1"/>
  <c r="P50" i="62" s="1"/>
  <c r="Q35" i="62"/>
  <c r="Q50" i="62" s="1"/>
  <c r="U18" i="61"/>
  <c r="U9" i="61"/>
  <c r="T18" i="61" l="1"/>
  <c r="T9" i="61"/>
  <c r="T7" i="59" l="1"/>
  <c r="S15" i="59"/>
  <c r="T15" i="59"/>
  <c r="S7" i="59"/>
  <c r="S18" i="61" l="1"/>
  <c r="S9" i="61"/>
  <c r="O17" i="62" l="1"/>
  <c r="O35" i="62" s="1"/>
  <c r="O50" i="62" s="1"/>
  <c r="R15" i="59"/>
  <c r="R7" i="59"/>
  <c r="M17" i="62" l="1"/>
  <c r="M35" i="62" s="1"/>
  <c r="M50" i="62" s="1"/>
  <c r="R18" i="61"/>
  <c r="R9" i="61"/>
  <c r="Q15" i="59"/>
  <c r="Q7" i="59"/>
  <c r="N17" i="62" l="1"/>
  <c r="N35" i="62" s="1"/>
  <c r="N50" i="62" s="1"/>
  <c r="Q18" i="61"/>
  <c r="Q9" i="61"/>
  <c r="P15" i="59" l="1"/>
  <c r="P7" i="59"/>
  <c r="P18" i="61" l="1"/>
  <c r="P9" i="61"/>
  <c r="O15" i="59"/>
  <c r="O7" i="59"/>
  <c r="L17" i="62" l="1"/>
  <c r="L35" i="62" s="1"/>
  <c r="L50" i="62" s="1"/>
  <c r="B9" i="61" l="1"/>
  <c r="O9" i="61"/>
  <c r="O18" i="61"/>
  <c r="N7" i="59"/>
  <c r="N15" i="59"/>
  <c r="K17" i="62"/>
  <c r="K35" i="62" l="1"/>
  <c r="K50" i="62" s="1"/>
  <c r="N18" i="61" l="1"/>
  <c r="N9" i="61"/>
  <c r="M15" i="59"/>
  <c r="M7" i="59" l="1"/>
  <c r="J17" i="62" l="1"/>
  <c r="J35" i="62" s="1"/>
  <c r="J50" i="62" s="1"/>
  <c r="M9" i="61" l="1"/>
  <c r="M18" i="61"/>
  <c r="L15" i="59" l="1"/>
  <c r="L7" i="59"/>
  <c r="I17" i="62"/>
  <c r="I35" i="62" l="1"/>
  <c r="I50" i="62" s="1"/>
  <c r="K15" i="59"/>
  <c r="K7" i="59"/>
  <c r="L18" i="61"/>
  <c r="L9" i="61"/>
  <c r="H17" i="62" l="1"/>
  <c r="H35" i="62" s="1"/>
  <c r="H50" i="62" s="1"/>
  <c r="K18" i="61" l="1"/>
  <c r="K9" i="61"/>
  <c r="G17" i="62"/>
  <c r="G35" i="62" l="1"/>
  <c r="G50" i="62" s="1"/>
  <c r="J15" i="59"/>
  <c r="J7" i="59"/>
  <c r="F17" i="62" l="1"/>
  <c r="F35" i="62" s="1"/>
  <c r="F50" i="62" s="1"/>
  <c r="E17" i="62"/>
  <c r="E35" i="62" s="1"/>
  <c r="E50" i="62" s="1"/>
  <c r="D17" i="62"/>
  <c r="D35" i="62" s="1"/>
  <c r="D50" i="62" s="1"/>
  <c r="C17" i="62"/>
  <c r="C35" i="62" s="1"/>
  <c r="C50" i="62" s="1"/>
  <c r="B17" i="62"/>
  <c r="B35" i="62" s="1"/>
  <c r="B50" i="62" s="1"/>
  <c r="J9" i="61"/>
  <c r="J18" i="61"/>
  <c r="I15" i="59" l="1"/>
  <c r="I7" i="59"/>
  <c r="I18" i="61" l="1"/>
  <c r="I9" i="61" l="1"/>
  <c r="H15" i="59" l="1"/>
  <c r="H7" i="59"/>
  <c r="H18" i="61" l="1"/>
  <c r="H9" i="61"/>
  <c r="G15" i="59" l="1"/>
  <c r="K7" i="69" s="1"/>
  <c r="G7" i="59"/>
  <c r="E7" i="69" s="1"/>
  <c r="G18" i="61" l="1"/>
  <c r="G9" i="61"/>
  <c r="F15" i="59"/>
  <c r="F7" i="59"/>
  <c r="F18" i="61" l="1"/>
  <c r="D18" i="61"/>
  <c r="E18" i="61"/>
  <c r="C18" i="61"/>
  <c r="F9" i="61"/>
  <c r="D9" i="61"/>
  <c r="E9" i="61"/>
  <c r="C9" i="61"/>
  <c r="C15" i="59"/>
  <c r="D15" i="59"/>
  <c r="E15" i="59"/>
  <c r="B15" i="59"/>
  <c r="C7" i="59"/>
  <c r="D7" i="59"/>
  <c r="E7" i="59"/>
  <c r="B7" i="59"/>
  <c r="I7" i="58" l="1"/>
  <c r="I8" i="58"/>
  <c r="I9" i="58"/>
  <c r="I14" i="58"/>
  <c r="I15" i="58"/>
  <c r="I16" i="58"/>
  <c r="E15" i="58"/>
  <c r="E14" i="58"/>
  <c r="E9" i="58"/>
  <c r="E8" i="58"/>
  <c r="G16" i="8" l="1"/>
  <c r="G15" i="8"/>
  <c r="G14" i="8"/>
  <c r="G9" i="8"/>
  <c r="G8" i="8"/>
  <c r="G7" i="8"/>
  <c r="I21" i="8"/>
  <c r="I22" i="8"/>
  <c r="I23" i="8"/>
  <c r="D31" i="8"/>
  <c r="E7" i="8"/>
  <c r="E15" i="8"/>
  <c r="F14" i="8"/>
  <c r="E14" i="8"/>
  <c r="D32" i="8"/>
  <c r="F7" i="8"/>
  <c r="D30" i="8"/>
  <c r="F15" i="8"/>
  <c r="E16" i="8"/>
  <c r="D29" i="8"/>
  <c r="F8" i="8"/>
  <c r="F16" i="8"/>
  <c r="I14" i="8" l="1"/>
  <c r="I16" i="8"/>
  <c r="I8" i="8"/>
  <c r="I15" i="8"/>
  <c r="I7" i="8"/>
  <c r="E9" i="8"/>
  <c r="F9" i="8"/>
  <c r="E8" i="8"/>
  <c r="I9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Rathinasamy, Yuvaraj (Cognizant)</author>
  </authors>
  <commentList>
    <comment ref="AG7" authorId="0" shapeId="0" xr:uid="{8BE4D43B-CAEE-471E-BD4A-98E789727E70}">
      <text>
        <r>
          <rPr>
            <b/>
            <sz val="9"/>
            <color indexed="81"/>
            <rFont val="Tahoma"/>
            <family val="2"/>
          </rPr>
          <t>Rathinasamy, Yuvaraj (Cognizant):</t>
        </r>
        <r>
          <rPr>
            <sz val="9"/>
            <color indexed="81"/>
            <rFont val="Tahoma"/>
            <family val="2"/>
          </rPr>
          <t xml:space="preserve">
INC9758440  - removed , not on Cog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Gaikwad, Tushar Sudan (Cognizant)</author>
    <author>Ramamoorthy, Padmanabhan (Cognizant)</author>
  </authors>
  <commentList>
    <comment ref="BG18" authorId="0" shapeId="0" xr:uid="{C009AFCB-94CB-4A7C-9942-A61934A64E10}">
      <text>
        <r>
          <rPr>
            <sz val="9"/>
            <color indexed="81"/>
            <rFont val="Tahoma"/>
            <family val="2"/>
          </rPr>
          <t xml:space="preserve">1 Post-Implementation Review
</t>
        </r>
      </text>
    </comment>
    <comment ref="BH18" authorId="0" shapeId="0" xr:uid="{2FE229DB-5081-4E24-8B42-6FEAFE34A3D0}">
      <text>
        <r>
          <rPr>
            <b/>
            <sz val="9"/>
            <color indexed="81"/>
            <rFont val="Tahoma"/>
            <family val="2"/>
          </rPr>
          <t>6 Changes are in implementation state</t>
        </r>
      </text>
    </comment>
    <comment ref="BI18" authorId="0" shapeId="0" xr:uid="{925C62A3-6F91-491E-A1FE-826E242E792B}">
      <text>
        <r>
          <rPr>
            <b/>
            <sz val="9"/>
            <color indexed="81"/>
            <rFont val="Tahoma"/>
            <family val="2"/>
          </rPr>
          <t xml:space="preserve">06 are in implemention state </t>
        </r>
      </text>
    </comment>
    <comment ref="BJ18" authorId="0" shapeId="0" xr:uid="{8BD30DA7-346F-494D-B73B-2AA0DDCE792F}">
      <text>
        <r>
          <rPr>
            <b/>
            <sz val="9"/>
            <color indexed="81"/>
            <rFont val="Tahoma"/>
            <family val="2"/>
          </rPr>
          <t xml:space="preserve">4 are in implementation state. </t>
        </r>
      </text>
    </comment>
    <comment ref="BP18" authorId="1" shapeId="0" xr:uid="{F00E8808-9B96-4164-BF20-C3FBCA0EAE41}">
      <text>
        <r>
          <rPr>
            <sz val="9"/>
            <color indexed="81"/>
            <rFont val="Tahoma"/>
            <family val="2"/>
          </rPr>
          <t>1 are in implementation state.</t>
        </r>
      </text>
    </comment>
    <comment ref="BS18" authorId="1" shapeId="0" xr:uid="{16E46A3D-7E54-457E-9D50-56858C4B158E}">
      <text>
        <r>
          <rPr>
            <b/>
            <sz val="9"/>
            <color indexed="81"/>
            <rFont val="Tahoma"/>
            <family val="2"/>
          </rPr>
          <t>1 change is in Pending Acceptance state</t>
        </r>
      </text>
    </comment>
    <comment ref="BX18" authorId="1" shapeId="0" xr:uid="{A9918428-C2CF-4B58-8035-C2579AFDEE24}">
      <text>
        <r>
          <rPr>
            <b/>
            <sz val="9"/>
            <color indexed="81"/>
            <rFont val="Tahoma"/>
            <family val="2"/>
          </rPr>
          <t>1 change is in Pending Acceptance state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Y18" authorId="1" shapeId="0" xr:uid="{3B1F8977-8577-4C04-9029-D3EF77BAC87D}">
      <text>
        <r>
          <rPr>
            <b/>
            <sz val="9"/>
            <color indexed="81"/>
            <rFont val="Tahoma"/>
            <family val="2"/>
          </rPr>
          <t>1 Change is in Post Implementation review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E18" authorId="1" shapeId="0" xr:uid="{D71DBD58-0FBF-44A8-B3F5-C168ADE22816}">
      <text>
        <r>
          <rPr>
            <b/>
            <sz val="9"/>
            <color indexed="81"/>
            <rFont val="Tahoma"/>
            <family val="2"/>
          </rPr>
          <t xml:space="preserve">2 changes was not yet close </t>
        </r>
        <r>
          <rPr>
            <sz val="9"/>
            <color indexed="81"/>
            <rFont val="Tahoma"/>
            <family val="2"/>
          </rPr>
          <t xml:space="preserve">
CHG9106156 - Replacing APs at MHQ till 31st May 2024
 CHG9106200 - Toronto Shut down till 2nd May 2024</t>
        </r>
      </text>
    </comment>
  </commentList>
</comments>
</file>

<file path=xl/sharedStrings.xml><?xml version="1.0" encoding="utf-8"?>
<sst xmlns="http://schemas.openxmlformats.org/spreadsheetml/2006/main" count="2275" uniqueCount="226">
  <si>
    <t>Source</t>
  </si>
  <si>
    <t>Manual Tracking based on the incidents created from Service café - 3/28 to 4/3</t>
  </si>
  <si>
    <t xml:space="preserve">SLA </t>
  </si>
  <si>
    <t xml:space="preserve"> ( Total incidents resolved/responded  in the Measurement Window On Time ) /
( Total incidents resolved/responded  in the Measurement Window ) X 100</t>
  </si>
  <si>
    <t>Response</t>
  </si>
  <si>
    <t>Expected</t>
  </si>
  <si>
    <t>Average response time</t>
  </si>
  <si>
    <t>Ticket #</t>
  </si>
  <si>
    <t>Met</t>
  </si>
  <si>
    <t>Target</t>
  </si>
  <si>
    <t>SLA %</t>
  </si>
  <si>
    <t>Minimum</t>
  </si>
  <si>
    <t>KPI</t>
  </si>
  <si>
    <t>P1</t>
  </si>
  <si>
    <t>≤ 15 Minutes</t>
  </si>
  <si>
    <t>P2</t>
  </si>
  <si>
    <t>≤ 30 Minutes</t>
  </si>
  <si>
    <t>P3</t>
  </si>
  <si>
    <t>≤ 2 Hours</t>
  </si>
  <si>
    <t>P4</t>
  </si>
  <si>
    <t>≤ 1 Business Day</t>
  </si>
  <si>
    <t>Network Operations Center - Remote Resolution</t>
  </si>
  <si>
    <t>Remote Resolution</t>
  </si>
  <si>
    <t>Restoration</t>
  </si>
  <si>
    <t>Average Resolution Duration</t>
  </si>
  <si>
    <t>Ticket Resolved #</t>
  </si>
  <si>
    <t>CPI</t>
  </si>
  <si>
    <t>≤ 4 hours</t>
  </si>
  <si>
    <t>≤ 6 hours</t>
  </si>
  <si>
    <t>≤ 2 Business Days</t>
  </si>
  <si>
    <t>Network Operations Center - with Dispatch</t>
  </si>
  <si>
    <t>With Dispatch</t>
  </si>
  <si>
    <t>≤ 8 hours</t>
  </si>
  <si>
    <t>NA</t>
  </si>
  <si>
    <t>≤ 10 hours</t>
  </si>
  <si>
    <t>≤ 2 Business Day</t>
  </si>
  <si>
    <t>≤ 3 Business Days</t>
  </si>
  <si>
    <t>Priority</t>
  </si>
  <si>
    <t>Number INCs created</t>
  </si>
  <si>
    <t>2 - High</t>
  </si>
  <si>
    <t>P2 for an emergency change</t>
  </si>
  <si>
    <t>3 - Moderate</t>
  </si>
  <si>
    <t>4 - Low</t>
  </si>
  <si>
    <t>Grand Total</t>
  </si>
  <si>
    <t>Manual Tracking based on the incidents from Service café - 3/28 to 4/3</t>
  </si>
  <si>
    <t>≤ 5 Business Days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</si>
  <si>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</si>
  <si>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</si>
  <si>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</si>
  <si>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</si>
  <si>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</si>
  <si>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</si>
  <si>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</si>
  <si>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</si>
  <si>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</si>
  <si>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</si>
  <si>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</si>
  <si>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</si>
  <si>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</si>
  <si>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</si>
  <si>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</si>
  <si>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</si>
  <si>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</si>
  <si>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</si>
  <si>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</si>
  <si>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</si>
  <si>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</si>
  <si>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</si>
  <si>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</si>
  <si>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</si>
  <si>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</si>
  <si>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</si>
  <si>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</si>
  <si>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</si>
  <si>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</si>
  <si>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</si>
  <si>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</si>
  <si>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</si>
  <si>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</si>
  <si>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</si>
  <si>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</si>
  <si>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Week 01</t>
  </si>
  <si>
    <t>Week 02</t>
  </si>
  <si>
    <t>Week 03</t>
  </si>
  <si>
    <t>Week 04</t>
  </si>
  <si>
    <t>Week 05</t>
  </si>
  <si>
    <t>Week 06</t>
  </si>
  <si>
    <t>Week 07</t>
  </si>
  <si>
    <t>Week 08</t>
  </si>
  <si>
    <t>Week 09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</si>
  <si>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</si>
  <si>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</si>
  <si>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</si>
  <si>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</si>
  <si>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</si>
  <si>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</si>
  <si>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</si>
  <si>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</si>
  <si>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Total</t>
  </si>
  <si>
    <t>Cloud Managed Network LAN &amp; Wifi (US &amp; Canada)</t>
  </si>
  <si>
    <t>Cloud Edge - Network (CNF)</t>
  </si>
  <si>
    <t>WAN - Cognizant</t>
  </si>
  <si>
    <t>SD-WAN</t>
  </si>
  <si>
    <t>Cognizant QROC log aggregation and correlation</t>
  </si>
  <si>
    <t>Managed WIFI/LAN</t>
  </si>
  <si>
    <t>WAN - ATT</t>
  </si>
  <si>
    <t>04/11 - 04/17</t>
  </si>
  <si>
    <t>04/18 - 04/24</t>
  </si>
  <si>
    <t>04/25 to 05/1</t>
  </si>
  <si>
    <t>05/2 to 05/8</t>
  </si>
  <si>
    <t>05/9 to 05/15</t>
  </si>
  <si>
    <t>05/16 to 05/22</t>
  </si>
  <si>
    <t>05/23 to 05/29</t>
  </si>
  <si>
    <t>5/30 to 6/5</t>
  </si>
  <si>
    <t>6/6 to 6/12</t>
  </si>
  <si>
    <t>6/13 to 6/19</t>
  </si>
  <si>
    <t>6/20 to 6/26</t>
  </si>
  <si>
    <t>06/27 to 07/03</t>
  </si>
  <si>
    <t>07/04 to 07/10</t>
  </si>
  <si>
    <t>07/11 to 07/17</t>
  </si>
  <si>
    <t>07/18 to 07/24</t>
  </si>
  <si>
    <t>07/25 to 07/31</t>
  </si>
  <si>
    <t>08/01 to 08/07</t>
  </si>
  <si>
    <t>08/08 to 08/14</t>
  </si>
  <si>
    <t>08/15 to 08/21</t>
  </si>
  <si>
    <t>08/22 to 08/28</t>
  </si>
  <si>
    <t>08/29 to 09/04</t>
  </si>
  <si>
    <t>09/05 to 09/11</t>
  </si>
  <si>
    <t>09/12 to 09/18</t>
  </si>
  <si>
    <t>09/19 to 09/25</t>
  </si>
  <si>
    <t>09/26 to 10/02</t>
  </si>
  <si>
    <t>10/03 to 10/09</t>
  </si>
  <si>
    <t>10/10 to 10/16</t>
  </si>
  <si>
    <t>10/17 to 10/23</t>
  </si>
  <si>
    <t>10/24 to 10/30</t>
  </si>
  <si>
    <t>10/31 to 11/06</t>
  </si>
  <si>
    <t>11/07 to 11/13</t>
  </si>
  <si>
    <t>11/14 to 11/20</t>
  </si>
  <si>
    <t>11/21 to 11/27</t>
  </si>
  <si>
    <t>11/28 to 12/04</t>
  </si>
  <si>
    <t>12/05 to 12/11</t>
  </si>
  <si>
    <t>12/12 to 12/18</t>
  </si>
  <si>
    <t>12/19 to 12/25</t>
  </si>
  <si>
    <t>12/26 to 01/01</t>
  </si>
  <si>
    <t>01/02 - 01/08</t>
  </si>
  <si>
    <t>01/09 - 01/15</t>
  </si>
  <si>
    <t>01/16 - 01/22</t>
  </si>
  <si>
    <t>01/23 - 01/29</t>
  </si>
  <si>
    <t>01/30 - 02/05</t>
  </si>
  <si>
    <t>02/06 - 02/12</t>
  </si>
  <si>
    <t>02/13 - 02/19</t>
  </si>
  <si>
    <t>02/20 - 02/26</t>
  </si>
  <si>
    <t>02/28 - 03/05</t>
  </si>
  <si>
    <t>03/06 - 03/12</t>
  </si>
  <si>
    <t>03/13 - 03/19</t>
  </si>
  <si>
    <t>03/20 - 03/26</t>
  </si>
  <si>
    <t>03/27 - 04/02</t>
  </si>
  <si>
    <t>INC</t>
  </si>
  <si>
    <t xml:space="preserve">RITM </t>
  </si>
  <si>
    <t>INC Created by</t>
  </si>
  <si>
    <t>Tools Created</t>
  </si>
  <si>
    <t>Manually Created</t>
  </si>
  <si>
    <t xml:space="preserve">INC Resolved by </t>
  </si>
  <si>
    <t xml:space="preserve">Week 39 </t>
  </si>
  <si>
    <t>Auto closed by Tools</t>
  </si>
  <si>
    <t>Manually Closed</t>
  </si>
  <si>
    <t>INC Stats</t>
  </si>
  <si>
    <t>INCs created</t>
  </si>
  <si>
    <t>INCs resolved</t>
  </si>
  <si>
    <t>Week #</t>
  </si>
  <si>
    <t>Pending INCs</t>
  </si>
  <si>
    <t>INCs Resolved</t>
  </si>
  <si>
    <t>Total INCs Created</t>
  </si>
  <si>
    <t>Qroc open</t>
  </si>
  <si>
    <t>Pending RITMs</t>
  </si>
  <si>
    <t>RITMs Fulfilled</t>
  </si>
  <si>
    <t>Total RITMs Created</t>
  </si>
  <si>
    <t>Pending change</t>
  </si>
  <si>
    <t>fulfilled with changes</t>
  </si>
  <si>
    <t>Pending user and</t>
  </si>
  <si>
    <t>Pending task</t>
  </si>
  <si>
    <t>Open Ip allocation form</t>
  </si>
  <si>
    <t>Pending task 15</t>
  </si>
  <si>
    <t>IP Subnet Allocation Request Form: IP for new restaurants</t>
  </si>
  <si>
    <t>04/04 - 04/10</t>
  </si>
  <si>
    <t>07/26 to 07/31</t>
  </si>
  <si>
    <t>Type</t>
  </si>
  <si>
    <t>week 14</t>
  </si>
  <si>
    <t>Expedited Exception</t>
  </si>
  <si>
    <t>Emergency</t>
  </si>
  <si>
    <t>Normal</t>
  </si>
  <si>
    <t>Informational</t>
  </si>
  <si>
    <t>Closure Type</t>
  </si>
  <si>
    <t>Successful</t>
  </si>
  <si>
    <t>Successful with issues</t>
  </si>
  <si>
    <t>Unsuccessful</t>
  </si>
  <si>
    <t>Business Service - INC</t>
  </si>
  <si>
    <t>Carrier Neutral Facility (CNF) Network Security</t>
  </si>
  <si>
    <t>Cloud Managed Network LAN &amp; Wifi (EU &amp; APMEA)</t>
  </si>
  <si>
    <t>Cloud Edge Firewall</t>
  </si>
  <si>
    <t>Content Delivery Network (CDN, Akamai)</t>
  </si>
  <si>
    <t>Managed Desktop</t>
  </si>
  <si>
    <t>Business Service - RITM</t>
  </si>
  <si>
    <t xml:space="preserve">Week 18 </t>
  </si>
  <si>
    <t>Cloud Managed Network LAN &amp; Wifi (EU &amp; APMEA )</t>
  </si>
  <si>
    <t>IP Allocation Management (IPAM)</t>
  </si>
  <si>
    <t>Business Service - Change Requests</t>
  </si>
  <si>
    <t>Pending Vendor</t>
  </si>
  <si>
    <t>WIP</t>
  </si>
  <si>
    <t>User created</t>
  </si>
  <si>
    <t>Week 1</t>
  </si>
  <si>
    <t>Week 2</t>
  </si>
  <si>
    <t>Week 3</t>
  </si>
  <si>
    <t>Week 4</t>
  </si>
  <si>
    <t>Week 5</t>
  </si>
  <si>
    <t>Automated Change</t>
  </si>
  <si>
    <t>Week 6</t>
  </si>
  <si>
    <t>Week 7</t>
  </si>
  <si>
    <t>Week 8</t>
  </si>
  <si>
    <t>QROC Created</t>
  </si>
  <si>
    <t>Week 9</t>
  </si>
  <si>
    <t>Firewall / SASE</t>
  </si>
  <si>
    <t>Internet Application Protection</t>
  </si>
  <si>
    <t>Network Automation Platform</t>
  </si>
  <si>
    <t>Voice Services-Telephony</t>
  </si>
  <si>
    <t>VPN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</si>
</sst>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[h]:mm:ss;@"/>
    <numFmt numFmtId="166" formatCode="0;[Red]0"/>
    <numFmt numFmtId="168" formatCode="0.000%"/>
  </numFmts>
  <fonts count="19" x14ac:knownFonts="1">
    <font>
      <sz val="11"/>
      <color indexed="8"/>
      <name val="Calibri"/>
      <family val="2"/>
      <scheme val="minor"/>
    </font>
    <font>
      <sz val="10"/>
      <color theme="1"/>
      <name val="Aptos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0"/>
      <name val="Aptos"/>
      <family val="2"/>
    </font>
    <font>
      <b/>
      <sz val="10"/>
      <color theme="1"/>
      <name val="Aptos"/>
      <family val="2"/>
    </font>
    <font>
      <sz val="10"/>
      <color indexed="8"/>
      <name val="Aptos"/>
      <family val="2"/>
    </font>
    <font>
      <b/>
      <sz val="10"/>
      <color indexed="8"/>
      <name val="Aptos"/>
      <family val="2"/>
    </font>
    <font>
      <sz val="10.5"/>
      <color indexed="8"/>
      <name val="Aptos"/>
      <family val="2"/>
    </font>
    <font>
      <b/>
      <sz val="10.5"/>
      <color theme="0"/>
      <name val="Aptos"/>
      <family val="2"/>
    </font>
    <font>
      <b/>
      <sz val="10.5"/>
      <color indexed="8"/>
      <name val="Aptos"/>
      <family val="2"/>
    </font>
    <font>
      <sz val="10.5"/>
      <color theme="1"/>
      <name val="Aptos"/>
      <family val="2"/>
    </font>
    <font>
      <sz val="10.5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0" fontId="3" fillId="0" borderId="0"/>
    <xf numFmtId="0" fontId="5" fillId="0" borderId="0"/>
    <xf numFmtId="0" fontId="2" fillId="0" borderId="0"/>
    <xf numFmtId="0" fontId="5" fillId="0" borderId="0"/>
  </cellStyleXfs>
  <cellXfs count="116">
    <xf numFmtId="0" fontId="0" fillId="0" borderId="0" xfId="0"/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8" fontId="6" fillId="2" borderId="13" xfId="0" applyNumberFormat="1" applyFont="1" applyFill="1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168" fontId="0" fillId="0" borderId="10" xfId="1" applyNumberFormat="1" applyFont="1" applyBorder="1" applyAlignment="1">
      <alignment horizontal="center" vertical="center"/>
    </xf>
    <xf numFmtId="9" fontId="0" fillId="0" borderId="11" xfId="0" applyNumberFormat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8" fontId="0" fillId="3" borderId="1" xfId="1" applyNumberFormat="1" applyFont="1" applyFill="1" applyBorder="1" applyAlignment="1">
      <alignment horizontal="center" vertical="center"/>
    </xf>
    <xf numFmtId="165" fontId="0" fillId="3" borderId="5" xfId="0" applyNumberFormat="1" applyFill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68" fontId="0" fillId="3" borderId="5" xfId="1" applyNumberFormat="1" applyFont="1" applyFill="1" applyBorder="1" applyAlignment="1">
      <alignment horizontal="center" vertical="center"/>
    </xf>
    <xf numFmtId="168" fontId="6" fillId="2" borderId="14" xfId="0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8" fontId="0" fillId="0" borderId="11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8" fontId="0" fillId="3" borderId="3" xfId="1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8" fontId="0" fillId="3" borderId="6" xfId="1" applyNumberFormat="1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/>
    </xf>
    <xf numFmtId="165" fontId="0" fillId="4" borderId="5" xfId="0" applyNumberFormat="1" applyFill="1" applyBorder="1" applyAlignment="1">
      <alignment horizontal="center"/>
    </xf>
    <xf numFmtId="168" fontId="0" fillId="4" borderId="11" xfId="1" applyNumberFormat="1" applyFont="1" applyFill="1" applyBorder="1" applyAlignment="1">
      <alignment horizontal="center" vertical="center"/>
    </xf>
    <xf numFmtId="168" fontId="0" fillId="4" borderId="3" xfId="1" applyNumberFormat="1" applyFont="1" applyFill="1" applyBorder="1" applyAlignment="1">
      <alignment horizontal="center" vertical="center"/>
    </xf>
    <xf numFmtId="168" fontId="0" fillId="4" borderId="6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6" fillId="6" borderId="13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0" fillId="4" borderId="0" xfId="0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8" fontId="0" fillId="4" borderId="0" xfId="1" applyNumberFormat="1" applyFont="1" applyFill="1" applyBorder="1" applyAlignment="1">
      <alignment horizontal="center" vertical="center"/>
    </xf>
    <xf numFmtId="165" fontId="0" fillId="4" borderId="0" xfId="0" applyNumberFormat="1" applyFill="1" applyAlignment="1">
      <alignment horizontal="center"/>
    </xf>
    <xf numFmtId="166" fontId="0" fillId="0" borderId="0" xfId="0" applyNumberFormat="1" applyAlignment="1">
      <alignment horizontal="center"/>
    </xf>
    <xf numFmtId="0" fontId="6" fillId="4" borderId="0" xfId="0" applyFont="1" applyFill="1" applyAlignment="1">
      <alignment horizontal="center" vertical="center"/>
    </xf>
    <xf numFmtId="168" fontId="6" fillId="4" borderId="0" xfId="0" applyNumberFormat="1" applyFont="1" applyFill="1" applyAlignment="1">
      <alignment horizontal="center" vertical="center"/>
    </xf>
    <xf numFmtId="0" fontId="12" fillId="0" borderId="0" xfId="0" applyFont="1"/>
    <xf numFmtId="0" fontId="13" fillId="7" borderId="0" xfId="0" applyFont="1" applyFill="1"/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/>
    <xf numFmtId="0" fontId="13" fillId="0" borderId="0" xfId="0" applyFont="1"/>
    <xf numFmtId="0" fontId="13" fillId="0" borderId="1" xfId="0" applyFont="1" applyBorder="1"/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/>
    </xf>
    <xf numFmtId="166" fontId="14" fillId="0" borderId="1" xfId="0" applyNumberFormat="1" applyFont="1" applyBorder="1" applyAlignment="1">
      <alignment horizontal="center" vertical="center"/>
    </xf>
    <xf numFmtId="0" fontId="15" fillId="2" borderId="1" xfId="3" applyFont="1" applyFill="1" applyBorder="1" applyAlignment="1">
      <alignment horizontal="center" vertical="center"/>
    </xf>
    <xf numFmtId="166" fontId="15" fillId="2" borderId="1" xfId="3" applyNumberFormat="1" applyFont="1" applyFill="1" applyBorder="1" applyAlignment="1">
      <alignment horizontal="center" vertical="center"/>
    </xf>
    <xf numFmtId="0" fontId="14" fillId="6" borderId="1" xfId="3" applyFont="1" applyFill="1" applyBorder="1" applyAlignment="1">
      <alignment horizontal="left" vertical="center"/>
    </xf>
    <xf numFmtId="0" fontId="14" fillId="6" borderId="1" xfId="3" applyFont="1" applyFill="1" applyBorder="1" applyAlignment="1">
      <alignment horizontal="center" vertical="center"/>
    </xf>
    <xf numFmtId="0" fontId="18" fillId="6" borderId="1" xfId="3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 vertical="center"/>
    </xf>
    <xf numFmtId="0" fontId="14" fillId="6" borderId="1" xfId="3" applyFont="1" applyFill="1" applyBorder="1" applyAlignment="1">
      <alignment horizontal="left"/>
    </xf>
    <xf numFmtId="0" fontId="16" fillId="6" borderId="1" xfId="3" applyFont="1" applyFill="1" applyBorder="1"/>
    <xf numFmtId="0" fontId="16" fillId="6" borderId="1" xfId="3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/>
    </xf>
    <xf numFmtId="0" fontId="16" fillId="6" borderId="1" xfId="0" applyFont="1" applyFill="1" applyBorder="1" applyAlignment="1">
      <alignment horizontal="center" vertical="center"/>
    </xf>
    <xf numFmtId="0" fontId="16" fillId="4" borderId="1" xfId="3" applyFont="1" applyFill="1" applyBorder="1"/>
    <xf numFmtId="0" fontId="16" fillId="4" borderId="1" xfId="3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/>
    </xf>
    <xf numFmtId="0" fontId="14" fillId="6" borderId="1" xfId="3" applyFont="1" applyFill="1" applyBorder="1"/>
    <xf numFmtId="0" fontId="14" fillId="6" borderId="1" xfId="3" applyFont="1" applyFill="1" applyBorder="1" applyAlignment="1">
      <alignment vertical="center"/>
    </xf>
    <xf numFmtId="0" fontId="16" fillId="6" borderId="1" xfId="3" applyFont="1" applyFill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3" fillId="7" borderId="0" xfId="0" applyFont="1" applyFill="1" applyAlignment="1">
      <alignment horizontal="center"/>
    </xf>
    <xf numFmtId="0" fontId="13" fillId="0" borderId="19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" fontId="12" fillId="0" borderId="0" xfId="0" applyNumberFormat="1" applyFont="1"/>
    <xf numFmtId="0" fontId="13" fillId="5" borderId="1" xfId="0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2" fillId="0" borderId="19" xfId="0" applyFont="1" applyBorder="1"/>
    <xf numFmtId="0" fontId="13" fillId="0" borderId="21" xfId="0" applyFont="1" applyBorder="1" applyAlignment="1">
      <alignment horizontal="center" vertical="center"/>
    </xf>
    <xf numFmtId="0" fontId="13" fillId="4" borderId="0" xfId="0" applyFont="1" applyFill="1" applyAlignment="1">
      <alignment horizontal="center"/>
    </xf>
    <xf numFmtId="0" fontId="13" fillId="5" borderId="20" xfId="0" applyFont="1" applyFill="1" applyBorder="1" applyAlignment="1">
      <alignment horizontal="center" vertical="center"/>
    </xf>
    <xf numFmtId="0" fontId="13" fillId="0" borderId="21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7" borderId="0" xfId="0" applyFont="1" applyFill="1" applyAlignment="1">
      <alignment horizontal="center"/>
    </xf>
    <xf numFmtId="0" fontId="13" fillId="7" borderId="22" xfId="0" applyFont="1" applyFill="1" applyBorder="1" applyAlignment="1">
      <alignment horizontal="center"/>
    </xf>
  </cellXfs>
  <cellStyles count="6">
    <cellStyle name="Normal" xfId="0" builtinId="0"/>
    <cellStyle name="Normal 2" xfId="2" xr:uid="{00000000-0005-0000-0000-000001000000}"/>
    <cellStyle name="Normal 2 2" xfId="5" xr:uid="{00000000-0005-0000-0000-000002000000}"/>
    <cellStyle name="Normal 3" xfId="3" xr:uid="{00000000-0005-0000-0000-000003000000}"/>
    <cellStyle name="Normal 4" xfId="4" xr:uid="{00000000-0005-0000-0000-000004000000}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NOC Response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'NOC INC - Response &amp; Resolution'!$I$5</c:f>
              <c:strCache>
                <c:ptCount val="1"/>
                <c:pt idx="0">
                  <c:v>SLA %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FDC4-4CAB-8307-5A5693046E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'NOC INC - Response &amp; Resolution'!$C$6:$C$9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'NOC INC - Response &amp; Resolution'!$I$6:$I$9</c:f>
              <c:numCache>
                <c:formatCode>0.000%</c:formatCode>
                <c:ptCount val="4"/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A1-4168-8EFB-6A3C5C0AC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3087552"/>
        <c:axId val="1733082560"/>
      </c:barChart>
      <c:lineChart>
        <c:grouping val="standard"/>
        <c:varyColors val="0"/>
        <c:ser>
          <c:idx val="0"/>
          <c:order val="0"/>
          <c:tx>
            <c:strRef>
              <c:f>'NOC INC - Response &amp; Resolution'!$H$5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'NOC INC - Response &amp; Resolution'!$C$6:$C$9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'NOC INC - Response &amp; Resolution'!$H$6:$H$9</c:f>
              <c:numCache>
                <c:formatCode>0%</c:formatCode>
                <c:ptCount val="4"/>
                <c:pt idx="0">
                  <c:v>0.99</c:v>
                </c:pt>
                <c:pt idx="1">
                  <c:v>0.99</c:v>
                </c:pt>
                <c:pt idx="2">
                  <c:v>0.98</c:v>
                </c:pt>
                <c:pt idx="3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A1-4168-8EFB-6A3C5C0AC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3087552"/>
        <c:axId val="1733082560"/>
      </c:lineChart>
      <c:catAx>
        <c:axId val="173308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082560"/>
        <c:crosses val="autoZero"/>
        <c:auto val="1"/>
        <c:lblAlgn val="ctr"/>
        <c:lblOffset val="100"/>
        <c:noMultiLvlLbl val="0"/>
      </c:catAx>
      <c:valAx>
        <c:axId val="173308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08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NOC Restoration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'NOC INC - Response &amp; Resolution'!$I$5</c:f>
              <c:strCache>
                <c:ptCount val="1"/>
                <c:pt idx="0">
                  <c:v>SLA %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'NOC INC - Response &amp; Resolution'!$C$13:$C$16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'NOC INC - Response &amp; Resolution'!$I$13:$I$16</c:f>
              <c:numCache>
                <c:formatCode>0.000%</c:formatCode>
                <c:ptCount val="4"/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B8-49E9-A389-759F62923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3087552"/>
        <c:axId val="1733082560"/>
      </c:barChart>
      <c:lineChart>
        <c:grouping val="standard"/>
        <c:varyColors val="0"/>
        <c:ser>
          <c:idx val="0"/>
          <c:order val="0"/>
          <c:tx>
            <c:strRef>
              <c:f>'NOC INC - Response &amp; Resolution'!$H$5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'NOC INC - Response &amp; Resolution'!$C$13:$C$16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'NOC INC - Response &amp; Resolution'!$H$13:$H$16</c:f>
              <c:numCache>
                <c:formatCode>0%</c:formatCode>
                <c:ptCount val="4"/>
                <c:pt idx="0">
                  <c:v>0.99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B8-49E9-A389-759F62923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3087552"/>
        <c:axId val="1733082560"/>
      </c:lineChart>
      <c:catAx>
        <c:axId val="173308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082560"/>
        <c:crosses val="autoZero"/>
        <c:auto val="1"/>
        <c:lblAlgn val="ctr"/>
        <c:lblOffset val="100"/>
        <c:noMultiLvlLbl val="0"/>
      </c:catAx>
      <c:valAx>
        <c:axId val="173308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08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SOC Response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'SOC INC- Response &amp; Resolutio'!$I$5</c:f>
              <c:strCache>
                <c:ptCount val="1"/>
                <c:pt idx="0">
                  <c:v>SLA %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758-4C1F-9415-B3A331F22F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'SOC INC- Response &amp; Resolutio'!$C$6:$C$9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'SOC INC- Response &amp; Resolutio'!$I$6:$I$9</c:f>
              <c:numCache>
                <c:formatCode>0.000%</c:formatCode>
                <c:ptCount val="4"/>
                <c:pt idx="1">
                  <c:v>0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58-4C1F-9415-B3A331F22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3087552"/>
        <c:axId val="1733082560"/>
      </c:barChart>
      <c:lineChart>
        <c:grouping val="standard"/>
        <c:varyColors val="0"/>
        <c:ser>
          <c:idx val="0"/>
          <c:order val="0"/>
          <c:tx>
            <c:strRef>
              <c:f>'SOC INC- Response &amp; Resolutio'!$H$5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'SOC INC- Response &amp; Resolutio'!$C$6:$C$9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'SOC INC- Response &amp; Resolutio'!$H$6:$H$9</c:f>
              <c:numCache>
                <c:formatCode>0%</c:formatCode>
                <c:ptCount val="4"/>
                <c:pt idx="0">
                  <c:v>0.99</c:v>
                </c:pt>
                <c:pt idx="1">
                  <c:v>0.98</c:v>
                </c:pt>
                <c:pt idx="2">
                  <c:v>0.97</c:v>
                </c:pt>
                <c:pt idx="3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58-4C1F-9415-B3A331F22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3087552"/>
        <c:axId val="1733082560"/>
      </c:lineChart>
      <c:catAx>
        <c:axId val="173308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082560"/>
        <c:crosses val="autoZero"/>
        <c:auto val="1"/>
        <c:lblAlgn val="ctr"/>
        <c:lblOffset val="100"/>
        <c:noMultiLvlLbl val="0"/>
      </c:catAx>
      <c:valAx>
        <c:axId val="173308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08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SOC Restoration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'SOC INC- Response &amp; Resolutio'!$I$5</c:f>
              <c:strCache>
                <c:ptCount val="1"/>
                <c:pt idx="0">
                  <c:v>SLA %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DA1-4510-9993-900376B1B4D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A1-4510-9993-900376B1B4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'SOC INC- Response &amp; Resolutio'!$C$13:$C$16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'SOC INC- Response &amp; Resolutio'!$I$13:$I$16</c:f>
              <c:numCache>
                <c:formatCode>0.000%</c:formatCode>
                <c:ptCount val="4"/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A1-4510-9993-900376B1B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3087552"/>
        <c:axId val="1733082560"/>
      </c:barChart>
      <c:lineChart>
        <c:grouping val="standard"/>
        <c:varyColors val="0"/>
        <c:ser>
          <c:idx val="0"/>
          <c:order val="0"/>
          <c:tx>
            <c:strRef>
              <c:f>'SOC INC- Response &amp; Resolutio'!$H$5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'SOC INC- Response &amp; Resolutio'!$C$13:$C$16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'SOC INC- Response &amp; Resolutio'!$H$13:$H$16</c:f>
              <c:numCache>
                <c:formatCode>0%</c:formatCode>
                <c:ptCount val="4"/>
                <c:pt idx="0">
                  <c:v>0.99</c:v>
                </c:pt>
                <c:pt idx="1">
                  <c:v>0.98</c:v>
                </c:pt>
                <c:pt idx="2">
                  <c:v>0.97</c:v>
                </c:pt>
                <c:pt idx="3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A1-4510-9993-900376B1B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3087552"/>
        <c:axId val="1733082560"/>
      </c:lineChart>
      <c:catAx>
        <c:axId val="173308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082560"/>
        <c:crosses val="autoZero"/>
        <c:auto val="1"/>
        <c:lblAlgn val="ctr"/>
        <c:lblOffset val="100"/>
        <c:noMultiLvlLbl val="0"/>
      </c:catAx>
      <c:valAx>
        <c:axId val="173308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08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</a:t>
            </a:r>
            <a:r>
              <a:rPr lang="en-US" baseline="0"/>
              <a:t> Resolved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'Volumetric trends INC &amp; RITM'!$A$3</c:f>
              <c:strCache>
                <c:ptCount val="1"/>
                <c:pt idx="0">
                  <c:v>P1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delete val="1"/>
          </c:dLbls>
          <c:cat>
            <c:strRef>
              <c:f>'Volumetric trends INC &amp; RITM'!$FK$2:$FN$2</c:f>
              <c:strCache>
                <c:ptCount val="4"/>
                <c:pt idx="0">
                  <c:v>Week 24</c:v>
                </c:pt>
                <c:pt idx="1">
                  <c:v>Week 25</c:v>
                </c:pt>
                <c:pt idx="2">
                  <c:v>Week 26</c:v>
                </c:pt>
                <c:pt idx="3">
                  <c:v>Week 27</c:v>
                </c:pt>
              </c:strCache>
            </c:strRef>
          </c:cat>
          <c:val>
            <c:numRef>
              <c:f>'Volumetric trends INC &amp; RITM'!$FK$3:$FN$3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8D-42D0-AF79-48231CA0A8B0}"/>
            </c:ext>
          </c:extLst>
        </c:ser>
        <c:ser>
          <c:idx val="1"/>
          <c:order val="1"/>
          <c:tx>
            <c:strRef>
              <c:f>'Volumetric trends INC &amp; RITM'!$A$4</c:f>
              <c:strCache>
                <c:ptCount val="1"/>
                <c:pt idx="0">
                  <c:v>P2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8.0735565478286614E-2"/>
                  <c:y val="-5.1146846937342285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A9C-44EC-89C5-83888F36A39C}"/>
                </c:ext>
              </c:extLst>
            </c:dLbl>
            <c:dLbl>
              <c:idx val="1"/>
              <c:layout>
                <c:manualLayout>
                  <c:x val="-7.3579930415674788E-2"/>
                  <c:y val="-5.869448347461792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A9C-44EC-89C5-83888F36A39C}"/>
                </c:ext>
              </c:extLst>
            </c:dLbl>
            <c:dLbl>
              <c:idx val="3"/>
              <c:layout>
                <c:manualLayout>
                  <c:x val="-7.3579930415674788E-2"/>
                  <c:y val="-5.0536945093399375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A9C-44EC-89C5-83888F36A3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'Volumetric trends INC &amp; RITM'!$FK$2:$FN$2</c:f>
              <c:strCache>
                <c:ptCount val="4"/>
                <c:pt idx="0">
                  <c:v>Week 24</c:v>
                </c:pt>
                <c:pt idx="1">
                  <c:v>Week 25</c:v>
                </c:pt>
                <c:pt idx="2">
                  <c:v>Week 26</c:v>
                </c:pt>
                <c:pt idx="3">
                  <c:v>Week 27</c:v>
                </c:pt>
              </c:strCache>
            </c:strRef>
          </c:cat>
          <c:val>
            <c:numRef>
              <c:f>'Volumetric trends INC &amp; RITM'!$FK$4:$FN$4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8D-42D0-AF79-48231CA0A8B0}"/>
            </c:ext>
          </c:extLst>
        </c:ser>
        <c:ser>
          <c:idx val="2"/>
          <c:order val="2"/>
          <c:tx>
            <c:strRef>
              <c:f>'Volumetric trends INC &amp; RITM'!$A$5</c:f>
              <c:strCache>
                <c:ptCount val="1"/>
                <c:pt idx="0">
                  <c:v>P3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'Volumetric trends INC &amp; RITM'!$FK$2:$FN$2</c:f>
              <c:strCache>
                <c:ptCount val="4"/>
                <c:pt idx="0">
                  <c:v>Week 24</c:v>
                </c:pt>
                <c:pt idx="1">
                  <c:v>Week 25</c:v>
                </c:pt>
                <c:pt idx="2">
                  <c:v>Week 26</c:v>
                </c:pt>
                <c:pt idx="3">
                  <c:v>Week 27</c:v>
                </c:pt>
              </c:strCache>
            </c:strRef>
          </c:cat>
          <c:val>
            <c:numRef>
              <c:f>'Volumetric trends INC &amp; RITM'!$FK$5:$FN$5</c:f>
              <c:numCache>
                <c:formatCode>General</c:formatCode>
                <c:ptCount val="4"/>
                <c:pt idx="0">
                  <c:v>827</c:v>
                </c:pt>
                <c:pt idx="1">
                  <c:v>375</c:v>
                </c:pt>
                <c:pt idx="2">
                  <c:v>640</c:v>
                </c:pt>
                <c:pt idx="3">
                  <c:v>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8D-42D0-AF79-48231CA0A8B0}"/>
            </c:ext>
          </c:extLst>
        </c:ser>
        <c:ser>
          <c:idx val="3"/>
          <c:order val="3"/>
          <c:tx>
            <c:strRef>
              <c:f>'Volumetric trends INC &amp; RITM'!$A$6</c:f>
              <c:strCache>
                <c:ptCount val="1"/>
                <c:pt idx="0">
                  <c:v>P4</c:v>
                </c:pt>
              </c:strCache>
            </c:strRef>
          </c:tx>
          <c:spPr>
            <a:ln w="317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'Volumetric trends INC &amp; RITM'!$FK$2:$FN$2</c:f>
              <c:strCache>
                <c:ptCount val="4"/>
                <c:pt idx="0">
                  <c:v>Week 24</c:v>
                </c:pt>
                <c:pt idx="1">
                  <c:v>Week 25</c:v>
                </c:pt>
                <c:pt idx="2">
                  <c:v>Week 26</c:v>
                </c:pt>
                <c:pt idx="3">
                  <c:v>Week 27</c:v>
                </c:pt>
              </c:strCache>
            </c:strRef>
          </c:cat>
          <c:val>
            <c:numRef>
              <c:f>'Volumetric trends INC &amp; RITM'!$FK$6:$FN$6</c:f>
              <c:numCache>
                <c:formatCode>General</c:formatCode>
                <c:ptCount val="4"/>
                <c:pt idx="0">
                  <c:v>580</c:v>
                </c:pt>
                <c:pt idx="1">
                  <c:v>1063</c:v>
                </c:pt>
                <c:pt idx="2">
                  <c:v>456</c:v>
                </c:pt>
                <c:pt idx="3">
                  <c:v>460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FC-448B-A13C-40F47B624A0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55204304"/>
        <c:axId val="755204720"/>
      </c:lineChart>
      <c:catAx>
        <c:axId val="75520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204720"/>
        <c:crosses val="autoZero"/>
        <c:auto val="1"/>
        <c:lblAlgn val="ctr"/>
        <c:lblOffset val="100"/>
        <c:noMultiLvlLbl val="0"/>
      </c:catAx>
      <c:valAx>
        <c:axId val="75520472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5520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8411392672517"/>
          <c:y val="0.91822089600079371"/>
          <c:w val="0.38530091668149247"/>
          <c:h val="8.1779204417633061E-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RITM Fulfilled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'Volumetric trends INC &amp; RITM'!$A$11</c:f>
              <c:strCache>
                <c:ptCount val="1"/>
                <c:pt idx="0">
                  <c:v>P1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'Volumetric trends INC &amp; RITM'!$FK$10:$FN$10</c:f>
              <c:strCache>
                <c:ptCount val="4"/>
                <c:pt idx="0">
                  <c:v>Week 24</c:v>
                </c:pt>
                <c:pt idx="1">
                  <c:v>Week 25</c:v>
                </c:pt>
                <c:pt idx="2">
                  <c:v>Week 26</c:v>
                </c:pt>
                <c:pt idx="3">
                  <c:v>Week 27</c:v>
                </c:pt>
              </c:strCache>
            </c:strRef>
          </c:cat>
          <c:val>
            <c:numRef>
              <c:f>'Volumetric trends INC &amp; RITM'!$FK$11:$FN$11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A7-4AC2-B678-19454F16CD69}"/>
            </c:ext>
          </c:extLst>
        </c:ser>
        <c:ser>
          <c:idx val="1"/>
          <c:order val="1"/>
          <c:tx>
            <c:strRef>
              <c:f>'Volumetric trends INC &amp; RITM'!$A$12</c:f>
              <c:strCache>
                <c:ptCount val="1"/>
                <c:pt idx="0">
                  <c:v>P2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'Volumetric trends INC &amp; RITM'!$FK$10:$FN$10</c:f>
              <c:strCache>
                <c:ptCount val="4"/>
                <c:pt idx="0">
                  <c:v>Week 24</c:v>
                </c:pt>
                <c:pt idx="1">
                  <c:v>Week 25</c:v>
                </c:pt>
                <c:pt idx="2">
                  <c:v>Week 26</c:v>
                </c:pt>
                <c:pt idx="3">
                  <c:v>Week 27</c:v>
                </c:pt>
              </c:strCache>
            </c:strRef>
          </c:cat>
          <c:val>
            <c:numRef>
              <c:f>'Volumetric trends INC &amp; RITM'!$FK$12:$FN$12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A7-4AC2-B678-19454F16CD69}"/>
            </c:ext>
          </c:extLst>
        </c:ser>
        <c:ser>
          <c:idx val="2"/>
          <c:order val="2"/>
          <c:tx>
            <c:strRef>
              <c:f>'Volumetric trends INC &amp; RITM'!$A$13</c:f>
              <c:strCache>
                <c:ptCount val="1"/>
                <c:pt idx="0">
                  <c:v>P3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'Volumetric trends INC &amp; RITM'!$FK$10:$FN$10</c:f>
              <c:strCache>
                <c:ptCount val="4"/>
                <c:pt idx="0">
                  <c:v>Week 24</c:v>
                </c:pt>
                <c:pt idx="1">
                  <c:v>Week 25</c:v>
                </c:pt>
                <c:pt idx="2">
                  <c:v>Week 26</c:v>
                </c:pt>
                <c:pt idx="3">
                  <c:v>Week 27</c:v>
                </c:pt>
              </c:strCache>
            </c:strRef>
          </c:cat>
          <c:val>
            <c:numRef>
              <c:f>'Volumetric trends INC &amp; RITM'!$FK$13:$FN$13</c:f>
              <c:numCache>
                <c:formatCode>General</c:formatCode>
                <c:ptCount val="4"/>
                <c:pt idx="0">
                  <c:v>55</c:v>
                </c:pt>
                <c:pt idx="1">
                  <c:v>55</c:v>
                </c:pt>
                <c:pt idx="2">
                  <c:v>62</c:v>
                </c:pt>
                <c:pt idx="3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7-41FA-AAFE-EB1332CACE37}"/>
            </c:ext>
          </c:extLst>
        </c:ser>
        <c:ser>
          <c:idx val="3"/>
          <c:order val="3"/>
          <c:tx>
            <c:strRef>
              <c:f>'Volumetric trends INC &amp; RITM'!$A$14</c:f>
              <c:strCache>
                <c:ptCount val="1"/>
                <c:pt idx="0">
                  <c:v>P4</c:v>
                </c:pt>
              </c:strCache>
            </c:strRef>
          </c:tx>
          <c:spPr>
            <a:ln w="317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'Volumetric trends INC &amp; RITM'!$FK$10:$FN$10</c:f>
              <c:strCache>
                <c:ptCount val="4"/>
                <c:pt idx="0">
                  <c:v>Week 24</c:v>
                </c:pt>
                <c:pt idx="1">
                  <c:v>Week 25</c:v>
                </c:pt>
                <c:pt idx="2">
                  <c:v>Week 26</c:v>
                </c:pt>
                <c:pt idx="3">
                  <c:v>Week 27</c:v>
                </c:pt>
              </c:strCache>
            </c:strRef>
          </c:cat>
          <c:val>
            <c:numRef>
              <c:f>'Volumetric trends INC &amp; RITM'!$FK$14:$FN$14</c:f>
              <c:numCache>
                <c:formatCode>General</c:formatCode>
                <c:ptCount val="4"/>
                <c:pt idx="0">
                  <c:v>9</c:v>
                </c:pt>
                <c:pt idx="1">
                  <c:v>15</c:v>
                </c:pt>
                <c:pt idx="2">
                  <c:v>21</c:v>
                </c:pt>
                <c:pt idx="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75-4B51-B049-A97D62EFE99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37547952"/>
        <c:axId val="437548368"/>
      </c:lineChart>
      <c:catAx>
        <c:axId val="43754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548368"/>
        <c:crosses val="autoZero"/>
        <c:auto val="1"/>
        <c:lblAlgn val="ctr"/>
        <c:lblOffset val="100"/>
        <c:noMultiLvlLbl val="0"/>
      </c:catAx>
      <c:valAx>
        <c:axId val="43754836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3754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INC (Resolved)</a:t>
            </a:r>
            <a:r>
              <a:rPr lang="en-US" sz="1050" baseline="0"/>
              <a:t> Segregation by Creation type</a:t>
            </a:r>
            <a:endParaRPr lang="en-US" sz="1050"/>
          </a:p>
        </c:rich>
      </c:tx>
      <c:layout>
        <c:manualLayout>
          <c:xMode val="edge"/>
          <c:yMode val="edge"/>
          <c:x val="0.14864824076531349"/>
          <c:y val="1.89693329117926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Created!$EM$2</c:f>
              <c:strCache>
                <c:ptCount val="1"/>
                <c:pt idx="0">
                  <c:v>Week 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6842552958363111E-17"/>
                  <c:y val="1.498111992506504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123-44B7-A10B-73B4192E55FF}"/>
                </c:ext>
              </c:extLst>
            </c:dLbl>
            <c:dLbl>
              <c:idx val="1"/>
              <c:layout>
                <c:manualLayout>
                  <c:x val="-3.6747812781757344E-3"/>
                  <c:y val="5.779937359131219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123-44B7-A10B-73B4192E55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Created!$A$3:$A$6</c:f>
              <c:strCache>
                <c:ptCount val="4"/>
                <c:pt idx="0">
                  <c:v>Tools Created</c:v>
                </c:pt>
                <c:pt idx="1">
                  <c:v>QROC Created</c:v>
                </c:pt>
                <c:pt idx="2">
                  <c:v>Manually Created</c:v>
                </c:pt>
                <c:pt idx="3">
                  <c:v>User created</c:v>
                </c:pt>
              </c:strCache>
            </c:strRef>
          </c:cat>
          <c:val>
            <c:numRef>
              <c:f>Created!$EM$3:$EM$6</c:f>
              <c:numCache>
                <c:formatCode>General</c:formatCode>
                <c:ptCount val="4"/>
                <c:pt idx="0">
                  <c:v>827</c:v>
                </c:pt>
                <c:pt idx="1">
                  <c:v>580</c:v>
                </c:pt>
                <c:pt idx="2">
                  <c:v>28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64-48E3-A317-19C68575FBE6}"/>
            </c:ext>
          </c:extLst>
        </c:ser>
        <c:ser>
          <c:idx val="1"/>
          <c:order val="1"/>
          <c:tx>
            <c:strRef>
              <c:f>Created!$EN$2</c:f>
              <c:strCache>
                <c:ptCount val="1"/>
                <c:pt idx="0">
                  <c:v>Week 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7.663909226016365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123-44B7-A10B-73B4192E55FF}"/>
                </c:ext>
              </c:extLst>
            </c:dLbl>
            <c:dLbl>
              <c:idx val="1"/>
              <c:layout>
                <c:manualLayout>
                  <c:x val="0"/>
                  <c:y val="2.742660187922610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123-44B7-A10B-73B4192E55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Created!$A$3:$A$6</c:f>
              <c:strCache>
                <c:ptCount val="4"/>
                <c:pt idx="0">
                  <c:v>Tools Created</c:v>
                </c:pt>
                <c:pt idx="1">
                  <c:v>QROC Created</c:v>
                </c:pt>
                <c:pt idx="2">
                  <c:v>Manually Created</c:v>
                </c:pt>
                <c:pt idx="3">
                  <c:v>User created</c:v>
                </c:pt>
              </c:strCache>
            </c:strRef>
          </c:cat>
          <c:val>
            <c:numRef>
              <c:f>Created!$EN$3:$EN$6</c:f>
              <c:numCache>
                <c:formatCode>General</c:formatCode>
                <c:ptCount val="4"/>
                <c:pt idx="0">
                  <c:v>1422</c:v>
                </c:pt>
                <c:pt idx="1">
                  <c:v>5</c:v>
                </c:pt>
                <c:pt idx="2">
                  <c:v>12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4C-4AD0-AB13-09442E661C10}"/>
            </c:ext>
          </c:extLst>
        </c:ser>
        <c:ser>
          <c:idx val="2"/>
          <c:order val="2"/>
          <c:tx>
            <c:strRef>
              <c:f>Created!$EO$2</c:f>
              <c:strCache>
                <c:ptCount val="1"/>
                <c:pt idx="0">
                  <c:v>Week 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7.349562556351435E-3"/>
                  <c:y val="1.653543307086614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123-44B7-A10B-73B4192E55FF}"/>
                </c:ext>
              </c:extLst>
            </c:dLbl>
            <c:dLbl>
              <c:idx val="1"/>
              <c:layout>
                <c:manualLayout>
                  <c:x val="3.6747812781756672E-3"/>
                  <c:y val="-2.802008020372918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123-44B7-A10B-73B4192E55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Created!$A$3:$A$6</c:f>
              <c:strCache>
                <c:ptCount val="4"/>
                <c:pt idx="0">
                  <c:v>Tools Created</c:v>
                </c:pt>
                <c:pt idx="1">
                  <c:v>QROC Created</c:v>
                </c:pt>
                <c:pt idx="2">
                  <c:v>Manually Created</c:v>
                </c:pt>
                <c:pt idx="3">
                  <c:v>User created</c:v>
                </c:pt>
              </c:strCache>
            </c:strRef>
          </c:cat>
          <c:val>
            <c:numRef>
              <c:f>Created!$EO$3:$EO$6</c:f>
              <c:numCache>
                <c:formatCode>General</c:formatCode>
                <c:ptCount val="4"/>
                <c:pt idx="0">
                  <c:v>1075</c:v>
                </c:pt>
                <c:pt idx="1">
                  <c:v>5</c:v>
                </c:pt>
                <c:pt idx="2">
                  <c:v>17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9C-4D6F-8ABD-1252EDC7251A}"/>
            </c:ext>
          </c:extLst>
        </c:ser>
        <c:ser>
          <c:idx val="3"/>
          <c:order val="3"/>
          <c:tx>
            <c:strRef>
              <c:f>Created!$EP$2</c:f>
              <c:strCache>
                <c:ptCount val="1"/>
                <c:pt idx="0">
                  <c:v>Week 27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Created!$A$3:$A$6</c:f>
              <c:strCache>
                <c:ptCount val="4"/>
                <c:pt idx="0">
                  <c:v>Tools Created</c:v>
                </c:pt>
                <c:pt idx="1">
                  <c:v>QROC Created</c:v>
                </c:pt>
                <c:pt idx="2">
                  <c:v>Manually Created</c:v>
                </c:pt>
                <c:pt idx="3">
                  <c:v>User created</c:v>
                </c:pt>
              </c:strCache>
            </c:strRef>
          </c:cat>
          <c:val>
            <c:numRef>
              <c:f>Created!$EP$3:$EP$6</c:f>
              <c:numCache>
                <c:formatCode>General</c:formatCode>
                <c:ptCount val="4"/>
                <c:pt idx="0">
                  <c:v>639</c:v>
                </c:pt>
                <c:pt idx="1">
                  <c:v>6</c:v>
                </c:pt>
                <c:pt idx="2">
                  <c:v>11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AB-4A7E-A1D9-8E3FA87B9B2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47126671"/>
        <c:axId val="1447107951"/>
      </c:barChart>
      <c:catAx>
        <c:axId val="144712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107951"/>
        <c:crosses val="autoZero"/>
        <c:auto val="1"/>
        <c:lblAlgn val="ctr"/>
        <c:lblOffset val="100"/>
        <c:noMultiLvlLbl val="0"/>
      </c:catAx>
      <c:valAx>
        <c:axId val="144710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12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05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5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INC (Resolved) Segregation by Closed by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05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Created!$EM$8</c:f>
              <c:strCache>
                <c:ptCount val="1"/>
                <c:pt idx="0">
                  <c:v>Week 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Created!$A$9:$A$10</c:f>
              <c:strCache>
                <c:ptCount val="2"/>
                <c:pt idx="0">
                  <c:v>Auto closed by Tools</c:v>
                </c:pt>
                <c:pt idx="1">
                  <c:v>Manually Closed</c:v>
                </c:pt>
              </c:strCache>
            </c:strRef>
          </c:cat>
          <c:val>
            <c:numRef>
              <c:f>Created!$EM$9:$EM$10</c:f>
              <c:numCache>
                <c:formatCode>General</c:formatCode>
                <c:ptCount val="2"/>
                <c:pt idx="0">
                  <c:v>854</c:v>
                </c:pt>
                <c:pt idx="1">
                  <c:v>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B7-400C-857F-DD050C489876}"/>
            </c:ext>
          </c:extLst>
        </c:ser>
        <c:ser>
          <c:idx val="1"/>
          <c:order val="1"/>
          <c:tx>
            <c:strRef>
              <c:f>Created!$EN$8</c:f>
              <c:strCache>
                <c:ptCount val="1"/>
                <c:pt idx="0">
                  <c:v>Week 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Created!$A$9:$A$10</c:f>
              <c:strCache>
                <c:ptCount val="2"/>
                <c:pt idx="0">
                  <c:v>Auto closed by Tools</c:v>
                </c:pt>
                <c:pt idx="1">
                  <c:v>Manually Closed</c:v>
                </c:pt>
              </c:strCache>
            </c:strRef>
          </c:cat>
          <c:val>
            <c:numRef>
              <c:f>Created!$EN$9:$EN$10</c:f>
              <c:numCache>
                <c:formatCode>General</c:formatCode>
                <c:ptCount val="2"/>
                <c:pt idx="0">
                  <c:v>1417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09-4041-8FCE-B3F52DA348CF}"/>
            </c:ext>
          </c:extLst>
        </c:ser>
        <c:ser>
          <c:idx val="2"/>
          <c:order val="2"/>
          <c:tx>
            <c:strRef>
              <c:f>Created!$EO$8</c:f>
              <c:strCache>
                <c:ptCount val="1"/>
                <c:pt idx="0">
                  <c:v>Week 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Created!$A$9:$A$10</c:f>
              <c:strCache>
                <c:ptCount val="2"/>
                <c:pt idx="0">
                  <c:v>Auto closed by Tools</c:v>
                </c:pt>
                <c:pt idx="1">
                  <c:v>Manually Closed</c:v>
                </c:pt>
              </c:strCache>
            </c:strRef>
          </c:cat>
          <c:val>
            <c:numRef>
              <c:f>Created!$EO$9:$EO$10</c:f>
              <c:numCache>
                <c:formatCode>General</c:formatCode>
                <c:ptCount val="2"/>
                <c:pt idx="0">
                  <c:v>1033</c:v>
                </c:pt>
                <c:pt idx="1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79-4551-A289-7FB167FB0BB2}"/>
            </c:ext>
          </c:extLst>
        </c:ser>
        <c:ser>
          <c:idx val="3"/>
          <c:order val="3"/>
          <c:tx>
            <c:strRef>
              <c:f>Created!$EP$8</c:f>
              <c:strCache>
                <c:ptCount val="1"/>
                <c:pt idx="0">
                  <c:v>Week 27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Created!$A$9:$A$10</c:f>
              <c:strCache>
                <c:ptCount val="2"/>
                <c:pt idx="0">
                  <c:v>Auto closed by Tools</c:v>
                </c:pt>
                <c:pt idx="1">
                  <c:v>Manually Closed</c:v>
                </c:pt>
              </c:strCache>
            </c:strRef>
          </c:cat>
          <c:val>
            <c:numRef>
              <c:f>Created!$EP$9:$EP$10</c:f>
              <c:numCache>
                <c:formatCode>General</c:formatCode>
                <c:ptCount val="2"/>
                <c:pt idx="0">
                  <c:v>619</c:v>
                </c:pt>
                <c:pt idx="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08-497B-B84F-1E994A2067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47110447"/>
        <c:axId val="1447110863"/>
      </c:barChart>
      <c:catAx>
        <c:axId val="144711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110863"/>
        <c:crosses val="autoZero"/>
        <c:auto val="1"/>
        <c:lblAlgn val="ctr"/>
        <c:lblOffset val="100"/>
        <c:noMultiLvlLbl val="0"/>
      </c:catAx>
      <c:valAx>
        <c:axId val="144711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110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Incidents</a:t>
            </a:r>
            <a:r>
              <a:rPr lang="en-US" sz="1050" baseline="0"/>
              <a:t> weekly </a:t>
            </a:r>
            <a:r>
              <a:rPr lang="en-US" sz="1050"/>
              <a:t>Stats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Created!$A$13</c:f>
              <c:strCache>
                <c:ptCount val="1"/>
                <c:pt idx="0">
                  <c:v>INCs created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3071895424836602E-2"/>
                  <c:y val="3.981806834406285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CB-4BA6-AF0D-4AE9CC978B10}"/>
                </c:ext>
              </c:extLst>
            </c:dLbl>
            <c:dLbl>
              <c:idx val="1"/>
              <c:layout>
                <c:manualLayout>
                  <c:x val="-4.3572984749455342E-3"/>
                  <c:y val="3.504871917395549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2C6-4442-AA15-665F0358948F}"/>
                </c:ext>
              </c:extLst>
            </c:dLbl>
            <c:dLbl>
              <c:idx val="2"/>
              <c:layout>
                <c:manualLayout>
                  <c:x val="-1.3071895424836682E-2"/>
                  <c:y val="-1.772172937485720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2C6-4442-AA15-665F0358948F}"/>
                </c:ext>
              </c:extLst>
            </c:dLbl>
            <c:dLbl>
              <c:idx val="3"/>
              <c:layout>
                <c:manualLayout>
                  <c:x val="-1.5976576512025088E-16"/>
                  <c:y val="4.45732557046004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CB-4BA6-AF0D-4AE9CC978B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Created!$EM$12:$EP$12</c:f>
              <c:strCache>
                <c:ptCount val="4"/>
                <c:pt idx="0">
                  <c:v>Week 24</c:v>
                </c:pt>
                <c:pt idx="1">
                  <c:v>Week 25</c:v>
                </c:pt>
                <c:pt idx="2">
                  <c:v>Week 26</c:v>
                </c:pt>
                <c:pt idx="3">
                  <c:v>Week 27</c:v>
                </c:pt>
              </c:strCache>
            </c:strRef>
          </c:cat>
          <c:val>
            <c:numRef>
              <c:f>Created!$EM$13:$EP$13</c:f>
              <c:numCache>
                <c:formatCode>General</c:formatCode>
                <c:ptCount val="4"/>
                <c:pt idx="0">
                  <c:v>1457</c:v>
                </c:pt>
                <c:pt idx="1">
                  <c:v>1422</c:v>
                </c:pt>
                <c:pt idx="2">
                  <c:v>1099</c:v>
                </c:pt>
                <c:pt idx="3">
                  <c:v>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9A-4CB0-99C6-9CBAA37893A3}"/>
            </c:ext>
          </c:extLst>
        </c:ser>
        <c:ser>
          <c:idx val="1"/>
          <c:order val="1"/>
          <c:tx>
            <c:strRef>
              <c:f>Created!$A$14</c:f>
              <c:strCache>
                <c:ptCount val="1"/>
                <c:pt idx="0">
                  <c:v>INCs resolved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0"/>
                  <c:y val="-6.514657980456026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1CB-4BA6-AF0D-4AE9CC978B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Created!$EM$12:$EP$12</c:f>
              <c:strCache>
                <c:ptCount val="4"/>
                <c:pt idx="0">
                  <c:v>Week 24</c:v>
                </c:pt>
                <c:pt idx="1">
                  <c:v>Week 25</c:v>
                </c:pt>
                <c:pt idx="2">
                  <c:v>Week 26</c:v>
                </c:pt>
                <c:pt idx="3">
                  <c:v>Week 27</c:v>
                </c:pt>
              </c:strCache>
            </c:strRef>
          </c:cat>
          <c:val>
            <c:numRef>
              <c:f>Created!$EM$14:$EP$14</c:f>
              <c:numCache>
                <c:formatCode>General</c:formatCode>
                <c:ptCount val="4"/>
                <c:pt idx="0">
                  <c:v>634</c:v>
                </c:pt>
                <c:pt idx="1">
                  <c:v>17</c:v>
                </c:pt>
                <c:pt idx="2">
                  <c:v>920</c:v>
                </c:pt>
                <c:pt idx="3">
                  <c:v>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C1-4DCF-BF0C-F6B8CAC789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8161600"/>
        <c:axId val="88147456"/>
      </c:barChart>
      <c:catAx>
        <c:axId val="8816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47456"/>
        <c:crosses val="autoZero"/>
        <c:auto val="1"/>
        <c:lblAlgn val="ctr"/>
        <c:lblOffset val="100"/>
        <c:noMultiLvlLbl val="0"/>
      </c:catAx>
      <c:valAx>
        <c:axId val="8814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6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</a:t>
            </a:r>
            <a:r>
              <a:rPr lang="en-US" baseline="0"/>
              <a:t> Resolved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'Pending Counts'!$D$1</c:f>
              <c:strCache>
                <c:ptCount val="1"/>
                <c:pt idx="0">
                  <c:v>Pending INCs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'Pending Counts'!$C$167:$C$170</c:f>
              <c:strCache>
                <c:ptCount val="4"/>
                <c:pt idx="0">
                  <c:v>Week 24</c:v>
                </c:pt>
                <c:pt idx="1">
                  <c:v>Week 25</c:v>
                </c:pt>
                <c:pt idx="2">
                  <c:v>Week 26</c:v>
                </c:pt>
                <c:pt idx="3">
                  <c:v>Week 27</c:v>
                </c:pt>
              </c:strCache>
            </c:strRef>
          </c:cat>
          <c:val>
            <c:numRef>
              <c:f>'Pending Counts'!$D$167:$D$170</c:f>
              <c:numCache>
                <c:formatCode>General</c:formatCode>
                <c:ptCount val="4"/>
                <c:pt idx="0">
                  <c:v>16</c:v>
                </c:pt>
                <c:pt idx="1">
                  <c:v>505</c:v>
                </c:pt>
                <c:pt idx="2">
                  <c:v>15</c:v>
                </c:pt>
                <c:pt idx="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FD-4B1A-BCF6-766946946C46}"/>
            </c:ext>
          </c:extLst>
        </c:ser>
        <c:ser>
          <c:idx val="1"/>
          <c:order val="1"/>
          <c:tx>
            <c:strRef>
              <c:f>'Pending Counts'!$E$1</c:f>
              <c:strCache>
                <c:ptCount val="1"/>
                <c:pt idx="0">
                  <c:v>INCs Resolved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'Pending Counts'!$C$167:$C$170</c:f>
              <c:strCache>
                <c:ptCount val="4"/>
                <c:pt idx="0">
                  <c:v>Week 24</c:v>
                </c:pt>
                <c:pt idx="1">
                  <c:v>Week 25</c:v>
                </c:pt>
                <c:pt idx="2">
                  <c:v>Week 26</c:v>
                </c:pt>
                <c:pt idx="3">
                  <c:v>Week 27</c:v>
                </c:pt>
              </c:strCache>
            </c:strRef>
          </c:cat>
          <c:val>
            <c:numRef>
              <c:f>'Pending Counts'!$E$167:$E$170</c:f>
              <c:numCache>
                <c:formatCode>General</c:formatCode>
                <c:ptCount val="4"/>
                <c:pt idx="0">
                  <c:v>634</c:v>
                </c:pt>
                <c:pt idx="1">
                  <c:v>934</c:v>
                </c:pt>
                <c:pt idx="2">
                  <c:v>920</c:v>
                </c:pt>
                <c:pt idx="3">
                  <c:v>660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FD-4B1A-BCF6-766946946C46}"/>
            </c:ext>
          </c:extLst>
        </c:ser>
        <c:ser>
          <c:idx val="2"/>
          <c:order val="2"/>
          <c:tx>
            <c:strRef>
              <c:f>'Pending Counts'!$F$1</c:f>
              <c:strCache>
                <c:ptCount val="1"/>
                <c:pt idx="0">
                  <c:v>Total INCs Created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dLbl>
              <c:idx val="3"/>
              <c:layout>
                <c:manualLayout>
                  <c:x val="-5.7995897781185905E-2"/>
                  <c:y val="-9.88741443958655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C1-4639-B055-2B0096794FB9}"/>
                </c:ext>
              </c:extLst>
            </c:dLbl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'Pending Counts'!$C$167:$C$170</c:f>
              <c:strCache>
                <c:ptCount val="4"/>
                <c:pt idx="0">
                  <c:v>Week 24</c:v>
                </c:pt>
                <c:pt idx="1">
                  <c:v>Week 25</c:v>
                </c:pt>
                <c:pt idx="2">
                  <c:v>Week 26</c:v>
                </c:pt>
                <c:pt idx="3">
                  <c:v>Week 27</c:v>
                </c:pt>
              </c:strCache>
            </c:strRef>
          </c:cat>
          <c:val>
            <c:numRef>
              <c:f>'Pending Counts'!$F$167:$F$170</c:f>
              <c:numCache>
                <c:formatCode>General</c:formatCode>
                <c:ptCount val="4"/>
                <c:pt idx="0">
                  <c:v>1457</c:v>
                </c:pt>
                <c:pt idx="1">
                  <c:v>1439</c:v>
                </c:pt>
                <c:pt idx="2">
                  <c:v>1099</c:v>
                </c:pt>
                <c:pt idx="3">
                  <c:v>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FD-4B1A-BCF6-766946946C4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93627456"/>
        <c:axId val="793620384"/>
      </c:lineChart>
      <c:catAx>
        <c:axId val="79362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620384"/>
        <c:crosses val="autoZero"/>
        <c:auto val="1"/>
        <c:lblAlgn val="ctr"/>
        <c:lblOffset val="100"/>
        <c:noMultiLvlLbl val="0"/>
      </c:catAx>
      <c:valAx>
        <c:axId val="79362038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9362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RITMs Fulfilled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'Pending Counts'!$J$1</c:f>
              <c:strCache>
                <c:ptCount val="1"/>
                <c:pt idx="0">
                  <c:v>Pending RITMs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'Pending Counts'!$I$167:$I$170</c:f>
              <c:strCache>
                <c:ptCount val="4"/>
                <c:pt idx="0">
                  <c:v>Week 24</c:v>
                </c:pt>
                <c:pt idx="1">
                  <c:v>Week 25</c:v>
                </c:pt>
                <c:pt idx="2">
                  <c:v>Week 26</c:v>
                </c:pt>
                <c:pt idx="3">
                  <c:v>Week 27</c:v>
                </c:pt>
              </c:strCache>
            </c:strRef>
          </c:cat>
          <c:val>
            <c:numRef>
              <c:f>'Pending Counts'!$J$167:$J$170</c:f>
              <c:numCache>
                <c:formatCode>General</c:formatCode>
                <c:ptCount val="4"/>
                <c:pt idx="0">
                  <c:v>35</c:v>
                </c:pt>
                <c:pt idx="1">
                  <c:v>40</c:v>
                </c:pt>
                <c:pt idx="2">
                  <c:v>31</c:v>
                </c:pt>
                <c:pt idx="3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58-41B0-BEBE-0081A40F5B0D}"/>
            </c:ext>
          </c:extLst>
        </c:ser>
        <c:ser>
          <c:idx val="1"/>
          <c:order val="1"/>
          <c:tx>
            <c:strRef>
              <c:f>'Pending Counts'!$K$1</c:f>
              <c:strCache>
                <c:ptCount val="1"/>
                <c:pt idx="0">
                  <c:v>RITMs Fulfilled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'Pending Counts'!$I$167:$I$170</c:f>
              <c:strCache>
                <c:ptCount val="4"/>
                <c:pt idx="0">
                  <c:v>Week 24</c:v>
                </c:pt>
                <c:pt idx="1">
                  <c:v>Week 25</c:v>
                </c:pt>
                <c:pt idx="2">
                  <c:v>Week 26</c:v>
                </c:pt>
                <c:pt idx="3">
                  <c:v>Week 27</c:v>
                </c:pt>
              </c:strCache>
            </c:strRef>
          </c:cat>
          <c:val>
            <c:numRef>
              <c:f>'Pending Counts'!$K$167:$K$170</c:f>
              <c:numCache>
                <c:formatCode>General</c:formatCode>
                <c:ptCount val="4"/>
                <c:pt idx="0">
                  <c:v>48</c:v>
                </c:pt>
                <c:pt idx="1">
                  <c:v>30</c:v>
                </c:pt>
                <c:pt idx="2">
                  <c:v>32</c:v>
                </c:pt>
                <c:pt idx="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58-41B0-BEBE-0081A40F5B0D}"/>
            </c:ext>
          </c:extLst>
        </c:ser>
        <c:ser>
          <c:idx val="2"/>
          <c:order val="2"/>
          <c:tx>
            <c:strRef>
              <c:f>'Pending Counts'!$L$1</c:f>
              <c:strCache>
                <c:ptCount val="1"/>
                <c:pt idx="0">
                  <c:v>Total RITMs Created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dLbl>
              <c:idx val="2"/>
              <c:layout>
                <c:manualLayout>
                  <c:x val="-5.2688320663441604E-2"/>
                  <c:y val="-3.87485348115269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F68-4BF6-A2C3-82B45A325095}"/>
                </c:ext>
              </c:extLst>
            </c:dLbl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'Pending Counts'!$I$167:$I$170</c:f>
              <c:strCache>
                <c:ptCount val="4"/>
                <c:pt idx="0">
                  <c:v>Week 24</c:v>
                </c:pt>
                <c:pt idx="1">
                  <c:v>Week 25</c:v>
                </c:pt>
                <c:pt idx="2">
                  <c:v>Week 26</c:v>
                </c:pt>
                <c:pt idx="3">
                  <c:v>Week 27</c:v>
                </c:pt>
              </c:strCache>
            </c:strRef>
          </c:cat>
          <c:val>
            <c:numRef>
              <c:f>'Pending Counts'!$L$167:$L$170</c:f>
              <c:numCache>
                <c:formatCode>General</c:formatCode>
                <c:ptCount val="4"/>
                <c:pt idx="0">
                  <c:v>83</c:v>
                </c:pt>
                <c:pt idx="1">
                  <c:v>70</c:v>
                </c:pt>
                <c:pt idx="2">
                  <c:v>63</c:v>
                </c:pt>
                <c:pt idx="3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58-41B0-BEBE-0081A40F5B0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93627456"/>
        <c:axId val="793620384"/>
      </c:lineChart>
      <c:catAx>
        <c:axId val="79362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620384"/>
        <c:crosses val="autoZero"/>
        <c:auto val="1"/>
        <c:lblAlgn val="ctr"/>
        <c:lblOffset val="100"/>
        <c:noMultiLvlLbl val="0"/>
      </c:catAx>
      <c:valAx>
        <c:axId val="79362038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9362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Change Closure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3240989979499209E-2"/>
          <c:y val="0.17577487173399808"/>
          <c:w val="0.93905818503758476"/>
          <c:h val="0.63128800168823118"/>
        </c:manualLayout>
      </c:layout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'Volumetric Change details'!$FL$14:$FO$14</c:f>
              <c:strCache>
                <c:ptCount val="4"/>
                <c:pt idx="0">
                  <c:v>Week 24</c:v>
                </c:pt>
                <c:pt idx="1">
                  <c:v>Week 25</c:v>
                </c:pt>
                <c:pt idx="2">
                  <c:v>Week 26</c:v>
                </c:pt>
                <c:pt idx="3">
                  <c:v>Week 27</c:v>
                </c:pt>
              </c:strCache>
            </c:strRef>
          </c:cat>
          <c:val>
            <c:numRef>
              <c:f>'Volumetric Change details'!$FL$15:$FO$15</c:f>
              <c:numCache>
                <c:formatCode>General</c:formatCode>
                <c:ptCount val="4"/>
                <c:pt idx="0">
                  <c:v>81</c:v>
                </c:pt>
                <c:pt idx="1">
                  <c:v>65</c:v>
                </c:pt>
                <c:pt idx="2">
                  <c:v>55</c:v>
                </c:pt>
                <c:pt idx="3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58-4E60-A69F-9AD099DFB26B}"/>
            </c:ext>
          </c:extLst>
        </c:ser>
        <c:ser>
          <c:idx val="1"/>
          <c:order val="1"/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'Volumetric Change details'!$FL$14:$FO$14</c:f>
              <c:strCache>
                <c:ptCount val="4"/>
                <c:pt idx="0">
                  <c:v>Week 24</c:v>
                </c:pt>
                <c:pt idx="1">
                  <c:v>Week 25</c:v>
                </c:pt>
                <c:pt idx="2">
                  <c:v>Week 26</c:v>
                </c:pt>
                <c:pt idx="3">
                  <c:v>Week 27</c:v>
                </c:pt>
              </c:strCache>
            </c:strRef>
          </c:cat>
          <c:val>
            <c:numRef>
              <c:f>'Volumetric Change details'!$FL$16:$FO$16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58-4E60-A69F-9AD099DFB26B}"/>
            </c:ext>
          </c:extLst>
        </c:ser>
        <c:ser>
          <c:idx val="2"/>
          <c:order val="2"/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'Volumetric Change details'!$FL$14:$FO$14</c:f>
              <c:strCache>
                <c:ptCount val="4"/>
                <c:pt idx="0">
                  <c:v>Week 24</c:v>
                </c:pt>
                <c:pt idx="1">
                  <c:v>Week 25</c:v>
                </c:pt>
                <c:pt idx="2">
                  <c:v>Week 26</c:v>
                </c:pt>
                <c:pt idx="3">
                  <c:v>Week 27</c:v>
                </c:pt>
              </c:strCache>
            </c:strRef>
          </c:cat>
          <c:val>
            <c:numRef>
              <c:f>'Volumetric Change details'!$FL$17:$FO$17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58-4E60-A69F-9AD099DFB26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79876976"/>
        <c:axId val="1471159120"/>
        <c:extLst/>
      </c:lineChart>
      <c:catAx>
        <c:axId val="77987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159120"/>
        <c:crosses val="autoZero"/>
        <c:auto val="1"/>
        <c:lblAlgn val="ctr"/>
        <c:lblOffset val="100"/>
        <c:noMultiLvlLbl val="0"/>
      </c:catAx>
      <c:valAx>
        <c:axId val="147115912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7987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Change</a:t>
            </a:r>
            <a:r>
              <a:rPr lang="en-US" baseline="0"/>
              <a:t>s Requests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'Volumetric Change details'!$FL$3:$FO$3</c:f>
              <c:strCache>
                <c:ptCount val="4"/>
                <c:pt idx="0">
                  <c:v>Week 24</c:v>
                </c:pt>
                <c:pt idx="1">
                  <c:v>Week 25</c:v>
                </c:pt>
                <c:pt idx="2">
                  <c:v>Week 26</c:v>
                </c:pt>
                <c:pt idx="3">
                  <c:v>Week 27</c:v>
                </c:pt>
              </c:strCache>
            </c:strRef>
          </c:cat>
          <c:val>
            <c:numRef>
              <c:f>'Volumetric Change details'!$FL$4:$FO$4</c:f>
              <c:numCache>
                <c:formatCode>General</c:formatCode>
                <c:ptCount val="4"/>
                <c:pt idx="0">
                  <c:v>38</c:v>
                </c:pt>
                <c:pt idx="1">
                  <c:v>32</c:v>
                </c:pt>
                <c:pt idx="2">
                  <c:v>31</c:v>
                </c:pt>
                <c:pt idx="3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5D-4848-A9BA-E4E7E967E709}"/>
            </c:ext>
          </c:extLst>
        </c:ser>
        <c:ser>
          <c:idx val="2"/>
          <c:order val="1"/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'Volumetric Change details'!$FL$3:$FO$3</c:f>
              <c:strCache>
                <c:ptCount val="4"/>
                <c:pt idx="0">
                  <c:v>Week 24</c:v>
                </c:pt>
                <c:pt idx="1">
                  <c:v>Week 25</c:v>
                </c:pt>
                <c:pt idx="2">
                  <c:v>Week 26</c:v>
                </c:pt>
                <c:pt idx="3">
                  <c:v>Week 27</c:v>
                </c:pt>
              </c:strCache>
            </c:strRef>
          </c:cat>
          <c:val>
            <c:numRef>
              <c:f>'Volumetric Change details'!$FL$5:$FO$5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7</c:v>
                </c:pt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5D-4848-A9BA-E4E7E967E709}"/>
            </c:ext>
          </c:extLst>
        </c:ser>
        <c:ser>
          <c:idx val="0"/>
          <c:order val="2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'Volumetric Change details'!$FL$3:$FO$3</c:f>
              <c:strCache>
                <c:ptCount val="4"/>
                <c:pt idx="0">
                  <c:v>Week 24</c:v>
                </c:pt>
                <c:pt idx="1">
                  <c:v>Week 25</c:v>
                </c:pt>
                <c:pt idx="2">
                  <c:v>Week 26</c:v>
                </c:pt>
                <c:pt idx="3">
                  <c:v>Week 27</c:v>
                </c:pt>
              </c:strCache>
            </c:strRef>
          </c:cat>
          <c:val>
            <c:numRef>
              <c:f>'Volumetric Change details'!$FL$6:$FO$6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5D-4848-A9BA-E4E7E967E709}"/>
            </c:ext>
          </c:extLst>
        </c:ser>
        <c:ser>
          <c:idx val="3"/>
          <c:order val="3"/>
          <c:spPr>
            <a:ln w="317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dLbl>
              <c:idx val="3"/>
              <c:layout>
                <c:manualLayout>
                  <c:x val="-3.8354009383911356E-2"/>
                  <c:y val="7.70619117961358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388-4C42-BFF9-E1417E9F54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'Volumetric Change details'!$FL$3:$FO$3</c:f>
              <c:strCache>
                <c:ptCount val="4"/>
                <c:pt idx="0">
                  <c:v>Week 24</c:v>
                </c:pt>
                <c:pt idx="1">
                  <c:v>Week 25</c:v>
                </c:pt>
                <c:pt idx="2">
                  <c:v>Week 26</c:v>
                </c:pt>
                <c:pt idx="3">
                  <c:v>Week 27</c:v>
                </c:pt>
              </c:strCache>
            </c:strRef>
          </c:cat>
          <c:val>
            <c:numRef>
              <c:f>'Volumetric Change details'!$FL$7:$FO$7</c:f>
              <c:numCache>
                <c:formatCode>General</c:formatCode>
                <c:ptCount val="4"/>
                <c:pt idx="0">
                  <c:v>37</c:v>
                </c:pt>
                <c:pt idx="1">
                  <c:v>28</c:v>
                </c:pt>
                <c:pt idx="2">
                  <c:v>10</c:v>
                </c:pt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5D-4848-A9BA-E4E7E967E709}"/>
            </c:ext>
          </c:extLst>
        </c:ser>
        <c:ser>
          <c:idx val="4"/>
          <c:order val="4"/>
          <c:spPr>
            <a:ln w="317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'Volumetric Change details'!$FL$3:$FO$3</c:f>
              <c:strCache>
                <c:ptCount val="4"/>
                <c:pt idx="0">
                  <c:v>Week 24</c:v>
                </c:pt>
                <c:pt idx="1">
                  <c:v>Week 25</c:v>
                </c:pt>
                <c:pt idx="2">
                  <c:v>Week 26</c:v>
                </c:pt>
                <c:pt idx="3">
                  <c:v>Week 27</c:v>
                </c:pt>
              </c:strCache>
            </c:strRef>
          </c:cat>
          <c:val>
            <c:numRef>
              <c:f>'Volumetric Change details'!$FL$8:$FO$8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15D-4848-A9BA-E4E7E967E70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4602080"/>
        <c:axId val="74588768"/>
      </c:lineChart>
      <c:catAx>
        <c:axId val="7460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88768"/>
        <c:crosses val="autoZero"/>
        <c:auto val="1"/>
        <c:lblAlgn val="ctr"/>
        <c:lblOffset val="100"/>
        <c:noMultiLvlLbl val="0"/>
      </c:catAx>
      <c:valAx>
        <c:axId val="7458876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460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608013</xdr:colOff>
      <xdr:row>3</xdr:row>
      <xdr:rowOff>1589</xdr:rowOff>
    </xdr:from>
    <xdr:to>
      <xdr:col>18</xdr:col>
      <xdr:colOff>292101</xdr:colOff>
      <xdr:row>17</xdr:row>
      <xdr:rowOff>77789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18</xdr:row>
      <xdr:rowOff>0</xdr:rowOff>
    </xdr:from>
    <xdr:to>
      <xdr:col>18</xdr:col>
      <xdr:colOff>293688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608013</xdr:colOff>
      <xdr:row>3</xdr:row>
      <xdr:rowOff>1589</xdr:rowOff>
    </xdr:from>
    <xdr:to>
      <xdr:col>18</xdr:col>
      <xdr:colOff>292101</xdr:colOff>
      <xdr:row>17</xdr:row>
      <xdr:rowOff>77789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18</xdr:row>
      <xdr:rowOff>0</xdr:rowOff>
    </xdr:from>
    <xdr:to>
      <xdr:col>18</xdr:col>
      <xdr:colOff>293688</xdr:colOff>
      <xdr:row>31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150</xdr:col>
      <xdr:colOff>67944</xdr:colOff>
      <xdr:row>20</xdr:row>
      <xdr:rowOff>115887</xdr:rowOff>
    </xdr:from>
    <xdr:to>
      <xdr:col>159</xdr:col>
      <xdr:colOff>247650</xdr:colOff>
      <xdr:row>35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160</xdr:col>
      <xdr:colOff>450851</xdr:colOff>
      <xdr:row>21</xdr:row>
      <xdr:rowOff>29845</xdr:rowOff>
    </xdr:from>
    <xdr:to>
      <xdr:col>167</xdr:col>
      <xdr:colOff>260351</xdr:colOff>
      <xdr:row>35</xdr:row>
      <xdr:rowOff>98425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1B6FA8-39C5-4F89-B322-CDEF39EC4D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128</xdr:col>
      <xdr:colOff>94297</xdr:colOff>
      <xdr:row>18</xdr:row>
      <xdr:rowOff>3175</xdr:rowOff>
    </xdr:from>
    <xdr:to>
      <xdr:col>133</xdr:col>
      <xdr:colOff>558165</xdr:colOff>
      <xdr:row>29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D9BD16-5423-4214-8EDB-9DE1CF86D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134</xdr:col>
      <xdr:colOff>134302</xdr:colOff>
      <xdr:row>17</xdr:row>
      <xdr:rowOff>168275</xdr:rowOff>
    </xdr:from>
    <xdr:to>
      <xdr:col>140</xdr:col>
      <xdr:colOff>584835</xdr:colOff>
      <xdr:row>29</xdr:row>
      <xdr:rowOff>112395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04FD23-9590-457B-85D6-2938A549B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141</xdr:col>
      <xdr:colOff>206375</xdr:colOff>
      <xdr:row>18</xdr:row>
      <xdr:rowOff>12065</xdr:rowOff>
    </xdr:from>
    <xdr:to>
      <xdr:col>146</xdr:col>
      <xdr:colOff>60960</xdr:colOff>
      <xdr:row>29</xdr:row>
      <xdr:rowOff>131445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450EF3-750B-4338-80F8-1608CC7A6D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888365</xdr:colOff>
      <xdr:row>171</xdr:row>
      <xdr:rowOff>95566</xdr:rowOff>
    </xdr:from>
    <xdr:to>
      <xdr:col>8</xdr:col>
      <xdr:colOff>412115</xdr:colOff>
      <xdr:row>188</xdr:row>
      <xdr:rowOff>36829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198120</xdr:colOff>
      <xdr:row>171</xdr:row>
      <xdr:rowOff>113030</xdr:rowOff>
    </xdr:from>
    <xdr:to>
      <xdr:col>13</xdr:col>
      <xdr:colOff>487045</xdr:colOff>
      <xdr:row>188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A93809-0A5A-4D69-B4FA-E9575A88DB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161</xdr:col>
      <xdr:colOff>489608</xdr:colOff>
      <xdr:row>20</xdr:row>
      <xdr:rowOff>151286</xdr:rowOff>
    </xdr:from>
    <xdr:to>
      <xdr:col>169</xdr:col>
      <xdr:colOff>207034</xdr:colOff>
      <xdr:row>38</xdr:row>
      <xdr:rowOff>1798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153</xdr:col>
      <xdr:colOff>211724</xdr:colOff>
      <xdr:row>20</xdr:row>
      <xdr:rowOff>138849</xdr:rowOff>
    </xdr:from>
    <xdr:to>
      <xdr:col>160</xdr:col>
      <xdr:colOff>580024</xdr:colOff>
      <xdr:row>37</xdr:row>
      <xdr:rowOff>172313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A24017-EDE1-4079-ABB7-9D81FC585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gnizantonline-my.sharepoint.com/Users/326138/Downloads/incident%20-%202022-05-04T215009.7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gnizantonline-my.sharepoint.com/Users/326138/Downloads/incident%20-%202022-05-04T213515.53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gnizantonline-my.sharepoint.com/personal/937175_cognizant_com/Documents/Desktop/Mcdonald/Yuvaraj/Reports/WSR/Week%2018/Refrence/incident%20-%20wk%201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gnizantonline-my.sharepoint.com/Users/326138/Downloads/sc_req_item%20-%202022-05-05T050405.289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gnizantonline-my.sharepoint.com/Users/326138/Downloads/sc_req_item%20-%202022-05-05T025944.44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gnizantonline-my.sharepoint.com/personal/937175_cognizant_com/Documents/Desktop/Mcdonald/Yuvaraj/Reports/WSR/Week%2018/Refrence/sc_req_item%20wk%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gnizantonline-my.sharepoint.com/personal/326138_cognizant_com/Documents/MCD_One%20Drive/Tim_weekly/2022/Weekly%20Tracker%20Mar%2009/sc_req_item%20wk%2004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gnizantonline-my.sharepoint.com/Users/326138/Downloads/change_request%20-%202022-05-05T024402.11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gnizantonline-my.sharepoint.com/Users/326138/Downloads/change_request%20-%202022-05-05T020119.8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gnizantonline-my.sharepoint.com/personal/937175_cognizant_com/Documents/Desktop/Mcdonald/Yuvaraj/Reports/WSR/Week%2018/Refrence/change_request%20wk%2017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gnizantonline-my.sharepoint.com/personal/326138_cognizant_com/Documents/MCD_One%20Drive/Tim_weekly/2022/Weekly%20Tracker%20Mar%2009/change_request%20wk%200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gnizantonline-my.sharepoint.com/personal/326138_cognizant_com/Documents/MCD_One%20Drive/Tim_weekly/2022/Weekly%20Tracker%20Mar%2009/change_requests%20wk%20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age 1"/>
    </sheetNames>
    <sheetDataSet>
      <sheetData sheetId="0" refreshError="1">
        <row r="1">
          <cell r="A1" t="str">
            <v>Row Labels</v>
          </cell>
          <cell r="B1" t="str">
            <v>Count of Number</v>
          </cell>
        </row>
        <row r="2">
          <cell r="A2" t="str">
            <v>Carrier Neutral Facility (CNF) Network Security</v>
          </cell>
          <cell r="B2">
            <v>12</v>
          </cell>
        </row>
        <row r="3">
          <cell r="A3" t="str">
            <v>Cloud Edge - Network (CNF)</v>
          </cell>
          <cell r="B3">
            <v>82</v>
          </cell>
        </row>
        <row r="4">
          <cell r="A4" t="str">
            <v>Cloud Managed Network LAN &amp; Wifi (US &amp; Canada)</v>
          </cell>
          <cell r="B4">
            <v>4</v>
          </cell>
        </row>
        <row r="5">
          <cell r="A5" t="str">
            <v>Cognizant QROC log aggregation and correlation</v>
          </cell>
          <cell r="B5">
            <v>172</v>
          </cell>
        </row>
        <row r="6">
          <cell r="A6" t="str">
            <v>Content Delivery Network (CDN, Akamai)</v>
          </cell>
          <cell r="B6">
            <v>1</v>
          </cell>
        </row>
        <row r="7">
          <cell r="A7" t="str">
            <v>DMaaS - Data Movement as a Service</v>
          </cell>
          <cell r="B7">
            <v>2</v>
          </cell>
        </row>
        <row r="8">
          <cell r="A8" t="str">
            <v>eCommerce Platform (eCP)</v>
          </cell>
          <cell r="B8">
            <v>1</v>
          </cell>
        </row>
        <row r="9">
          <cell r="A9" t="str">
            <v>Managed Desktop</v>
          </cell>
          <cell r="B9">
            <v>1</v>
          </cell>
        </row>
        <row r="10">
          <cell r="A10" t="str">
            <v>Managed WIFI/LAN</v>
          </cell>
          <cell r="B10">
            <v>10</v>
          </cell>
        </row>
        <row r="11">
          <cell r="A11" t="str">
            <v>WAN - ATT</v>
          </cell>
          <cell r="B11">
            <v>5</v>
          </cell>
        </row>
        <row r="12">
          <cell r="A12" t="str">
            <v>WAN - Cognizant</v>
          </cell>
          <cell r="B12">
            <v>69</v>
          </cell>
        </row>
        <row r="13">
          <cell r="A13" t="str">
            <v>WAN - Interoute</v>
          </cell>
          <cell r="B13">
            <v>3</v>
          </cell>
        </row>
        <row r="14">
          <cell r="A14" t="str">
            <v>WAN - Optimisation Services (WAAS)</v>
          </cell>
          <cell r="B14">
            <v>4</v>
          </cell>
        </row>
        <row r="15">
          <cell r="A15" t="str">
            <v>WAN - Optimization Services (WAAS)</v>
          </cell>
          <cell r="B15">
            <v>1</v>
          </cell>
        </row>
        <row r="16">
          <cell r="A16" t="str">
            <v>(blank)</v>
          </cell>
          <cell r="B16"/>
        </row>
        <row r="17">
          <cell r="A17" t="str">
            <v>Grand Total</v>
          </cell>
          <cell r="B17">
            <v>367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age 1"/>
    </sheetNames>
    <sheetDataSet>
      <sheetData sheetId="0" refreshError="1">
        <row r="3">
          <cell r="A3" t="str">
            <v>Row Labels</v>
          </cell>
          <cell r="B3" t="str">
            <v>Count of Number</v>
          </cell>
        </row>
        <row r="4">
          <cell r="A4" t="str">
            <v>Cloud Edge - Network (CNF)</v>
          </cell>
          <cell r="B4">
            <v>33</v>
          </cell>
        </row>
        <row r="5">
          <cell r="A5" t="str">
            <v>Cloud Managed Network LAN &amp; Wifi (US &amp; Canada)</v>
          </cell>
          <cell r="B5">
            <v>4</v>
          </cell>
        </row>
        <row r="6">
          <cell r="A6" t="str">
            <v>Cognizant QROC log aggregation and correlation</v>
          </cell>
          <cell r="B6">
            <v>112</v>
          </cell>
        </row>
        <row r="7">
          <cell r="A7" t="str">
            <v>Data Center - Networking (Load Balancers)</v>
          </cell>
          <cell r="B7">
            <v>1</v>
          </cell>
        </row>
        <row r="8">
          <cell r="A8" t="str">
            <v>Managed WIFI/LAN</v>
          </cell>
          <cell r="B8">
            <v>10</v>
          </cell>
        </row>
        <row r="9">
          <cell r="A9" t="str">
            <v>SIM-PIM - Supplier-Item and Menu Item</v>
          </cell>
          <cell r="B9">
            <v>1</v>
          </cell>
        </row>
        <row r="10">
          <cell r="A10" t="str">
            <v>WAN - ATT</v>
          </cell>
          <cell r="B10">
            <v>1</v>
          </cell>
        </row>
        <row r="11">
          <cell r="A11" t="str">
            <v>WAN - Cognizant</v>
          </cell>
          <cell r="B11">
            <v>33</v>
          </cell>
        </row>
        <row r="12">
          <cell r="A12" t="str">
            <v>WAN - Optimisation Services (WAAS)</v>
          </cell>
          <cell r="B12">
            <v>4</v>
          </cell>
        </row>
        <row r="13">
          <cell r="A13" t="str">
            <v>(blank)</v>
          </cell>
          <cell r="B13"/>
        </row>
        <row r="14">
          <cell r="A14" t="str">
            <v>Grand Total</v>
          </cell>
          <cell r="B14">
            <v>199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s"/>
      <sheetName val="Page 1"/>
      <sheetName val="Sheet1"/>
    </sheetNames>
    <sheetDataSet>
      <sheetData sheetId="0" refreshError="1">
        <row r="3">
          <cell r="A3" t="str">
            <v>INC BS</v>
          </cell>
          <cell r="B3" t="str">
            <v>Count of Number</v>
          </cell>
        </row>
        <row r="4">
          <cell r="A4" t="str">
            <v>Cloud Edge - Network (CNF)</v>
          </cell>
          <cell r="B4">
            <v>12</v>
          </cell>
        </row>
        <row r="5">
          <cell r="A5" t="str">
            <v>Cloud Managed Network LAN &amp; Wifi (US &amp; Canada)</v>
          </cell>
          <cell r="B5">
            <v>3</v>
          </cell>
        </row>
        <row r="6">
          <cell r="A6" t="str">
            <v>Cognizant QROC log aggregation and correlation</v>
          </cell>
          <cell r="B6">
            <v>91</v>
          </cell>
        </row>
        <row r="7">
          <cell r="A7" t="str">
            <v>Content Delivery Network (CDN, Akamai)</v>
          </cell>
          <cell r="B7">
            <v>2</v>
          </cell>
        </row>
        <row r="8">
          <cell r="A8" t="str">
            <v>Firewall</v>
          </cell>
          <cell r="B8">
            <v>1</v>
          </cell>
        </row>
        <row r="9">
          <cell r="A9" t="str">
            <v>Managed Desktop</v>
          </cell>
          <cell r="B9">
            <v>1</v>
          </cell>
        </row>
        <row r="10">
          <cell r="A10" t="str">
            <v>Managed WIFI/LAN</v>
          </cell>
          <cell r="B10">
            <v>5</v>
          </cell>
        </row>
        <row r="11">
          <cell r="A11" t="str">
            <v>WAN - Cognizant</v>
          </cell>
          <cell r="B11">
            <v>27</v>
          </cell>
        </row>
        <row r="12">
          <cell r="A12" t="str">
            <v>WAN - Interoute</v>
          </cell>
          <cell r="B12">
            <v>1</v>
          </cell>
        </row>
        <row r="13">
          <cell r="A13" t="str">
            <v>WAN - Optimisation Services (WAAS)</v>
          </cell>
          <cell r="B13">
            <v>2</v>
          </cell>
        </row>
        <row r="14">
          <cell r="A14" t="str">
            <v>(blank)</v>
          </cell>
        </row>
        <row r="15">
          <cell r="A15" t="str">
            <v>Grand Total</v>
          </cell>
          <cell r="B15">
            <v>145</v>
          </cell>
        </row>
        <row r="17">
          <cell r="A17" t="str">
            <v>Resolved</v>
          </cell>
          <cell r="B17" t="str">
            <v>Count of Number</v>
          </cell>
        </row>
        <row r="18">
          <cell r="A18" t="str">
            <v>Abhishek Arora</v>
          </cell>
          <cell r="B18">
            <v>2</v>
          </cell>
        </row>
        <row r="19">
          <cell r="A19" t="str">
            <v>Akarsh Johri</v>
          </cell>
          <cell r="B19">
            <v>1</v>
          </cell>
        </row>
        <row r="20">
          <cell r="A20" t="str">
            <v>Ambati Subbarami Reddy</v>
          </cell>
          <cell r="B20">
            <v>14</v>
          </cell>
        </row>
        <row r="21">
          <cell r="A21" t="str">
            <v>Arunkumar Kathirvel</v>
          </cell>
          <cell r="B21">
            <v>9</v>
          </cell>
        </row>
        <row r="22">
          <cell r="A22" t="str">
            <v>Avinash Dubey</v>
          </cell>
          <cell r="B22">
            <v>1</v>
          </cell>
        </row>
        <row r="23">
          <cell r="A23" t="str">
            <v>Bala Krishnan</v>
          </cell>
          <cell r="B23">
            <v>4</v>
          </cell>
        </row>
        <row r="24">
          <cell r="A24" t="str">
            <v>Bhanu Shree SV</v>
          </cell>
          <cell r="B24">
            <v>9</v>
          </cell>
        </row>
        <row r="25">
          <cell r="A25" t="str">
            <v>Mithlesh Dhoke</v>
          </cell>
          <cell r="B25">
            <v>1</v>
          </cell>
        </row>
        <row r="26">
          <cell r="A26" t="str">
            <v>Nagavara sathish</v>
          </cell>
          <cell r="B26">
            <v>14</v>
          </cell>
        </row>
        <row r="27">
          <cell r="A27" t="str">
            <v>Padmanabhan Ramamoorthy</v>
          </cell>
          <cell r="B27">
            <v>2</v>
          </cell>
        </row>
        <row r="28">
          <cell r="A28" t="str">
            <v>PrashanthRao Errabelly</v>
          </cell>
          <cell r="B28">
            <v>7</v>
          </cell>
        </row>
        <row r="29">
          <cell r="A29" t="str">
            <v>Saifullah Mohammed</v>
          </cell>
          <cell r="B29">
            <v>1</v>
          </cell>
        </row>
        <row r="30">
          <cell r="A30" t="str">
            <v>SharathChandra Vadla</v>
          </cell>
          <cell r="B30">
            <v>8</v>
          </cell>
        </row>
        <row r="31">
          <cell r="A31" t="str">
            <v>Shwetha Uchil</v>
          </cell>
          <cell r="B31">
            <v>1</v>
          </cell>
        </row>
        <row r="32">
          <cell r="A32" t="str">
            <v>SivaRamPrasad Ganji</v>
          </cell>
          <cell r="B32">
            <v>10</v>
          </cell>
        </row>
        <row r="33">
          <cell r="A33" t="str">
            <v>Solarwinds User</v>
          </cell>
          <cell r="B33">
            <v>43</v>
          </cell>
        </row>
        <row r="34">
          <cell r="A34" t="str">
            <v>Vinay A V</v>
          </cell>
          <cell r="B34">
            <v>18</v>
          </cell>
        </row>
        <row r="35">
          <cell r="A35" t="str">
            <v>(blank)</v>
          </cell>
        </row>
        <row r="36">
          <cell r="A36" t="str">
            <v>Grand Total</v>
          </cell>
          <cell r="B36">
            <v>145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age 1"/>
    </sheetNames>
    <sheetDataSet>
      <sheetData sheetId="0">
        <row r="3">
          <cell r="A3" t="str">
            <v>Row Labels</v>
          </cell>
          <cell r="B3" t="str">
            <v>Count of Number</v>
          </cell>
        </row>
        <row r="4">
          <cell r="A4" t="str">
            <v>Carrier Neutral Facility (CNF) Network Security</v>
          </cell>
          <cell r="B4">
            <v>1</v>
          </cell>
        </row>
        <row r="5">
          <cell r="A5" t="str">
            <v>Cloud Edge - Network (CNF)</v>
          </cell>
          <cell r="B5">
            <v>6</v>
          </cell>
        </row>
        <row r="6">
          <cell r="A6" t="str">
            <v>Cloud Edge Firewall</v>
          </cell>
          <cell r="B6">
            <v>3</v>
          </cell>
        </row>
        <row r="7">
          <cell r="A7" t="str">
            <v>Cloud Managed Network LAN &amp; Wifi (EU &amp; APMEA)</v>
          </cell>
          <cell r="B7">
            <v>1</v>
          </cell>
        </row>
        <row r="8">
          <cell r="A8" t="str">
            <v>Cognizant QROC log aggregation and correlation</v>
          </cell>
          <cell r="B8">
            <v>2</v>
          </cell>
        </row>
        <row r="9">
          <cell r="A9" t="str">
            <v>Content Delivery Network (CDN, Akamai)</v>
          </cell>
          <cell r="B9">
            <v>2</v>
          </cell>
        </row>
        <row r="10">
          <cell r="A10" t="str">
            <v>IP Allocation Management (IPAM)</v>
          </cell>
          <cell r="B10">
            <v>7</v>
          </cell>
        </row>
        <row r="11">
          <cell r="A11" t="str">
            <v>SD-WAN</v>
          </cell>
          <cell r="B11">
            <v>2</v>
          </cell>
        </row>
        <row r="12">
          <cell r="A12" t="str">
            <v>WAN - Cognizant</v>
          </cell>
          <cell r="B12">
            <v>11</v>
          </cell>
        </row>
        <row r="13">
          <cell r="A13" t="str">
            <v>WAN - Optimisation Services (WAAS)</v>
          </cell>
          <cell r="B13">
            <v>1</v>
          </cell>
        </row>
        <row r="14">
          <cell r="A14" t="str">
            <v>(blank)</v>
          </cell>
          <cell r="B14"/>
        </row>
        <row r="15">
          <cell r="A15" t="str">
            <v>Grand Total</v>
          </cell>
          <cell r="B15">
            <v>36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age 1"/>
    </sheetNames>
    <sheetDataSet>
      <sheetData sheetId="0">
        <row r="3">
          <cell r="A3" t="str">
            <v>Row Labels</v>
          </cell>
          <cell r="B3" t="str">
            <v>Count of Number</v>
          </cell>
        </row>
        <row r="4">
          <cell r="A4" t="str">
            <v>Carrier Neutral Facility (CNF) Network Security</v>
          </cell>
          <cell r="B4">
            <v>4</v>
          </cell>
        </row>
        <row r="5">
          <cell r="A5" t="str">
            <v>Cloud Edge - Network (CNF)</v>
          </cell>
          <cell r="B5">
            <v>5</v>
          </cell>
        </row>
        <row r="6">
          <cell r="A6" t="str">
            <v>Cloud Edge Firewall</v>
          </cell>
          <cell r="B6">
            <v>2</v>
          </cell>
        </row>
        <row r="7">
          <cell r="A7" t="str">
            <v>Cloud Managed Network LAN &amp; Wifi (EU &amp; APMEA)</v>
          </cell>
          <cell r="B7">
            <v>1</v>
          </cell>
        </row>
        <row r="8">
          <cell r="A8" t="str">
            <v>Cloud Managed Network LAN &amp; Wifi (US &amp; Canada)</v>
          </cell>
          <cell r="B8">
            <v>1</v>
          </cell>
        </row>
        <row r="9">
          <cell r="A9" t="str">
            <v>Content Delivery Network (CDN, Akamai)</v>
          </cell>
          <cell r="B9">
            <v>6</v>
          </cell>
        </row>
        <row r="10">
          <cell r="A10" t="str">
            <v>IP Allocation Management (IPAM)</v>
          </cell>
          <cell r="B10">
            <v>1</v>
          </cell>
        </row>
        <row r="11">
          <cell r="A11" t="str">
            <v>Managed Desktop</v>
          </cell>
          <cell r="B11">
            <v>1</v>
          </cell>
        </row>
        <row r="12">
          <cell r="A12" t="str">
            <v>SD-WAN</v>
          </cell>
          <cell r="B12">
            <v>4</v>
          </cell>
        </row>
        <row r="13">
          <cell r="A13" t="str">
            <v>WAN - Cognizant</v>
          </cell>
          <cell r="B13">
            <v>5</v>
          </cell>
        </row>
        <row r="14">
          <cell r="A14" t="str">
            <v>WAN - Optimisation Services (WAAS)</v>
          </cell>
          <cell r="B14">
            <v>1</v>
          </cell>
        </row>
        <row r="15">
          <cell r="A15" t="str">
            <v>(blank)</v>
          </cell>
          <cell r="B15"/>
        </row>
        <row r="16">
          <cell r="A16" t="str">
            <v>Grand Total</v>
          </cell>
          <cell r="B16">
            <v>31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age 1"/>
    </sheetNames>
    <sheetDataSet>
      <sheetData sheetId="0">
        <row r="3">
          <cell r="A3" t="str">
            <v>RITM Business Services</v>
          </cell>
          <cell r="B3" t="str">
            <v>Count of Number</v>
          </cell>
        </row>
        <row r="4">
          <cell r="A4" t="str">
            <v>Carrier Neutral Facility (CNF) Network Security</v>
          </cell>
          <cell r="B4">
            <v>1</v>
          </cell>
        </row>
        <row r="5">
          <cell r="A5" t="str">
            <v>Cloud Edge - Network (CNF)</v>
          </cell>
          <cell r="B5">
            <v>3</v>
          </cell>
        </row>
        <row r="6">
          <cell r="A6" t="str">
            <v>Cloud Edge Firewall</v>
          </cell>
          <cell r="B6">
            <v>3</v>
          </cell>
        </row>
        <row r="7">
          <cell r="A7" t="str">
            <v>Cloud Managed Network LAN &amp; Wifi (EU &amp; APMEA)</v>
          </cell>
          <cell r="B7">
            <v>1</v>
          </cell>
        </row>
        <row r="8">
          <cell r="A8" t="str">
            <v>Cognizant QROC log aggregation and correlation</v>
          </cell>
          <cell r="B8">
            <v>2</v>
          </cell>
        </row>
        <row r="9">
          <cell r="A9" t="str">
            <v>Content Delivery Network (CDN, Akamai)</v>
          </cell>
          <cell r="B9">
            <v>4</v>
          </cell>
        </row>
        <row r="10">
          <cell r="A10" t="str">
            <v>IP Allocation Management (IPAM)</v>
          </cell>
          <cell r="B10">
            <v>1</v>
          </cell>
        </row>
        <row r="11">
          <cell r="A11" t="str">
            <v>Managed WIFI/LAN</v>
          </cell>
          <cell r="B11">
            <v>2</v>
          </cell>
        </row>
        <row r="12">
          <cell r="A12" t="str">
            <v>SD-WAN</v>
          </cell>
          <cell r="B12">
            <v>1</v>
          </cell>
        </row>
        <row r="13">
          <cell r="A13" t="str">
            <v>WAN - Cognizant</v>
          </cell>
          <cell r="B13">
            <v>8</v>
          </cell>
        </row>
        <row r="14">
          <cell r="A14" t="str">
            <v>WAN - Optimisation Services (WAAS)</v>
          </cell>
          <cell r="B14">
            <v>1</v>
          </cell>
        </row>
        <row r="15">
          <cell r="A15" t="str">
            <v>(blank)</v>
          </cell>
        </row>
        <row r="16">
          <cell r="A16" t="str">
            <v>Grand Total</v>
          </cell>
          <cell r="B16">
            <v>27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age 1"/>
    </sheetNames>
    <sheetDataSet>
      <sheetData sheetId="0">
        <row r="3">
          <cell r="A3" t="str">
            <v>Row Labels</v>
          </cell>
          <cell r="B3" t="str">
            <v>Count of Number</v>
          </cell>
        </row>
        <row r="4">
          <cell r="A4" t="str">
            <v>Cloud Edge - Network (CNF)</v>
          </cell>
          <cell r="B4">
            <v>2</v>
          </cell>
        </row>
        <row r="5">
          <cell r="A5" t="str">
            <v>Cloud Edge Firewall</v>
          </cell>
          <cell r="B5">
            <v>4</v>
          </cell>
        </row>
        <row r="6">
          <cell r="A6" t="str">
            <v>Cognizant QROC log aggregation and correlation</v>
          </cell>
          <cell r="B6">
            <v>3</v>
          </cell>
        </row>
        <row r="7">
          <cell r="A7" t="str">
            <v>Content Delivery Network (CDN, Akamai)</v>
          </cell>
          <cell r="B7">
            <v>4</v>
          </cell>
        </row>
        <row r="8">
          <cell r="A8" t="str">
            <v>IP Allocation Management (IPAM)</v>
          </cell>
          <cell r="B8">
            <v>3</v>
          </cell>
        </row>
        <row r="9">
          <cell r="A9" t="str">
            <v>Managed WIFI/LAN</v>
          </cell>
          <cell r="B9">
            <v>3</v>
          </cell>
        </row>
        <row r="10">
          <cell r="A10" t="str">
            <v>WAN - Cognizant</v>
          </cell>
          <cell r="B10">
            <v>4</v>
          </cell>
        </row>
        <row r="11">
          <cell r="A11" t="str">
            <v>(blank)</v>
          </cell>
        </row>
        <row r="12">
          <cell r="A12" t="str">
            <v>Grand Total</v>
          </cell>
          <cell r="B12">
            <v>23</v>
          </cell>
        </row>
      </sheetData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age 1"/>
    </sheetNames>
    <sheetDataSet>
      <sheetData sheetId="0">
        <row r="3">
          <cell r="A3" t="str">
            <v>Row Labels</v>
          </cell>
          <cell r="B3" t="str">
            <v>Count of Number</v>
          </cell>
        </row>
        <row r="4">
          <cell r="A4" t="str">
            <v>Carrier Neutral Facility (CNF) Network Security</v>
          </cell>
          <cell r="B4">
            <v>6</v>
          </cell>
        </row>
        <row r="5">
          <cell r="A5" t="str">
            <v>Cloud Edge - Network (CNF)</v>
          </cell>
          <cell r="B5">
            <v>15</v>
          </cell>
        </row>
        <row r="6">
          <cell r="A6" t="str">
            <v>Cloud Edge Firewall</v>
          </cell>
          <cell r="B6">
            <v>3</v>
          </cell>
        </row>
        <row r="7">
          <cell r="A7" t="str">
            <v>Cloud Managed Network LAN &amp; Wifi (US &amp; Canada)</v>
          </cell>
          <cell r="B7">
            <v>2</v>
          </cell>
        </row>
        <row r="8">
          <cell r="A8" t="str">
            <v>Content Delivery Network (CDN, Akamai)</v>
          </cell>
          <cell r="B8">
            <v>5</v>
          </cell>
        </row>
        <row r="9">
          <cell r="A9" t="str">
            <v>Network Services</v>
          </cell>
          <cell r="B9">
            <v>15</v>
          </cell>
        </row>
        <row r="10">
          <cell r="A10" t="str">
            <v>WAN - Cognizant</v>
          </cell>
          <cell r="B10">
            <v>1</v>
          </cell>
        </row>
        <row r="11">
          <cell r="A11" t="str">
            <v>WAN - Optimisation Services (WAAS)</v>
          </cell>
          <cell r="B11">
            <v>1</v>
          </cell>
        </row>
        <row r="12">
          <cell r="A12" t="str">
            <v>(blank)</v>
          </cell>
          <cell r="B12"/>
        </row>
        <row r="13">
          <cell r="A13" t="str">
            <v>Grand Total</v>
          </cell>
          <cell r="B13">
            <v>48</v>
          </cell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Page 1"/>
      <sheetName val="Sheet1"/>
    </sheetNames>
    <sheetDataSet>
      <sheetData sheetId="0">
        <row r="3">
          <cell r="A3" t="str">
            <v>Row Labels</v>
          </cell>
          <cell r="B3" t="str">
            <v>Count of Number</v>
          </cell>
        </row>
        <row r="4">
          <cell r="A4" t="str">
            <v>Carrier Neutral Facility (CNF) Network Security</v>
          </cell>
          <cell r="B4">
            <v>4</v>
          </cell>
        </row>
        <row r="5">
          <cell r="A5" t="str">
            <v>Cloud Edge - Network (CNF)</v>
          </cell>
          <cell r="B5">
            <v>9</v>
          </cell>
        </row>
        <row r="6">
          <cell r="A6" t="str">
            <v>Cloud Edge Firewall</v>
          </cell>
          <cell r="B6">
            <v>4</v>
          </cell>
        </row>
        <row r="7">
          <cell r="A7" t="str">
            <v>Content Delivery Network (CDN, Akamai)</v>
          </cell>
          <cell r="B7">
            <v>8</v>
          </cell>
        </row>
        <row r="8">
          <cell r="A8" t="str">
            <v>Managed WIFI/LAN</v>
          </cell>
          <cell r="B8">
            <v>1</v>
          </cell>
        </row>
        <row r="9">
          <cell r="A9" t="str">
            <v>Network Services</v>
          </cell>
          <cell r="B9">
            <v>19</v>
          </cell>
        </row>
        <row r="10">
          <cell r="A10" t="str">
            <v>WAN - Cognizant</v>
          </cell>
          <cell r="B10">
            <v>2</v>
          </cell>
        </row>
        <row r="11">
          <cell r="A11" t="str">
            <v>(blank)</v>
          </cell>
          <cell r="B11"/>
        </row>
        <row r="12">
          <cell r="A12" t="str">
            <v>Grand Total</v>
          </cell>
          <cell r="B12">
            <v>47</v>
          </cell>
        </row>
      </sheetData>
      <sheetData sheetId="1"/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s"/>
      <sheetName val="Page 1"/>
      <sheetName val="cancelled"/>
    </sheetNames>
    <sheetDataSet>
      <sheetData sheetId="0">
        <row r="3">
          <cell r="A3" t="str">
            <v>Change BS</v>
          </cell>
          <cell r="B3" t="str">
            <v>Count of Number</v>
          </cell>
        </row>
        <row r="4">
          <cell r="A4" t="str">
            <v>Carrier Neutral Facility (CNF) Network Security</v>
          </cell>
          <cell r="B4">
            <v>2</v>
          </cell>
        </row>
        <row r="5">
          <cell r="A5" t="str">
            <v>Cloud Edge - Network (CNF)</v>
          </cell>
          <cell r="B5">
            <v>5</v>
          </cell>
        </row>
        <row r="6">
          <cell r="A6" t="str">
            <v>Cloud Edge Firewall</v>
          </cell>
          <cell r="B6">
            <v>3</v>
          </cell>
        </row>
        <row r="7">
          <cell r="A7" t="str">
            <v>Cognizant QROC log aggregation and correlation</v>
          </cell>
          <cell r="B7">
            <v>1</v>
          </cell>
        </row>
        <row r="8">
          <cell r="A8" t="str">
            <v>Content Delivery Network (CDN, Akamai)</v>
          </cell>
          <cell r="B8">
            <v>4</v>
          </cell>
        </row>
        <row r="9">
          <cell r="A9" t="str">
            <v>Network Services</v>
          </cell>
          <cell r="B9">
            <v>6</v>
          </cell>
        </row>
        <row r="10">
          <cell r="A10" t="str">
            <v>WAN - Cognizant</v>
          </cell>
          <cell r="B10">
            <v>1</v>
          </cell>
        </row>
        <row r="11">
          <cell r="A11" t="str">
            <v>(blank)</v>
          </cell>
        </row>
        <row r="12">
          <cell r="A12" t="str">
            <v>Grand Total</v>
          </cell>
          <cell r="B12">
            <v>22</v>
          </cell>
        </row>
      </sheetData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age 1"/>
      <sheetName val="draft"/>
    </sheetNames>
    <sheetDataSet>
      <sheetData sheetId="0">
        <row r="3">
          <cell r="A3" t="str">
            <v>Row Labels</v>
          </cell>
          <cell r="B3" t="str">
            <v>Count of Number</v>
          </cell>
        </row>
        <row r="4">
          <cell r="A4" t="str">
            <v>Carrier Neutral Facility (CNF) Network Security</v>
          </cell>
          <cell r="B4">
            <v>5</v>
          </cell>
        </row>
        <row r="5">
          <cell r="A5" t="str">
            <v>CNF Firewall</v>
          </cell>
          <cell r="B5">
            <v>1</v>
          </cell>
        </row>
        <row r="6">
          <cell r="A6" t="str">
            <v>Content Delivery Network (CDN, Akamai)</v>
          </cell>
          <cell r="B6">
            <v>4</v>
          </cell>
        </row>
        <row r="7">
          <cell r="A7" t="str">
            <v>Managed WIFI/LAN</v>
          </cell>
          <cell r="B7">
            <v>1</v>
          </cell>
        </row>
        <row r="8">
          <cell r="A8" t="str">
            <v>Network Services</v>
          </cell>
          <cell r="B8">
            <v>8</v>
          </cell>
        </row>
        <row r="9">
          <cell r="A9" t="str">
            <v>WAN - Cognizant</v>
          </cell>
          <cell r="B9">
            <v>3</v>
          </cell>
        </row>
        <row r="10">
          <cell r="A10" t="str">
            <v>(blank)</v>
          </cell>
          <cell r="B10"/>
        </row>
        <row r="11">
          <cell r="A11" t="str">
            <v>Grand Total</v>
          </cell>
          <cell r="B11">
            <v>22</v>
          </cell>
        </row>
        <row r="14">
          <cell r="A14" t="str">
            <v>Row Labels</v>
          </cell>
          <cell r="B14" t="str">
            <v>Count of Number</v>
          </cell>
        </row>
        <row r="15">
          <cell r="A15"/>
          <cell r="B15">
            <v>4</v>
          </cell>
        </row>
        <row r="16">
          <cell r="A16" t="str">
            <v>Successful</v>
          </cell>
          <cell r="B16">
            <v>18</v>
          </cell>
        </row>
        <row r="17">
          <cell r="A17" t="str">
            <v>(blank)</v>
          </cell>
          <cell r="B17"/>
        </row>
        <row r="18">
          <cell r="A18" t="str">
            <v>Grand Total</v>
          </cell>
          <cell r="B18">
            <v>22</v>
          </cell>
        </row>
      </sheetData>
      <sheetData sheetId="1"/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Page 1"/>
      <sheetName val="Cancelled"/>
    </sheetNames>
    <sheetDataSet>
      <sheetData sheetId="0">
        <row r="3">
          <cell r="A3" t="str">
            <v>Row Labels</v>
          </cell>
          <cell r="B3" t="str">
            <v>Count of Number</v>
          </cell>
        </row>
        <row r="4">
          <cell r="A4" t="str">
            <v>Carrier Neutral Facility (CNF) Network Security</v>
          </cell>
          <cell r="B4">
            <v>10</v>
          </cell>
        </row>
        <row r="5">
          <cell r="A5" t="str">
            <v>Cloud Edge Firewall</v>
          </cell>
          <cell r="B5">
            <v>5</v>
          </cell>
        </row>
        <row r="6">
          <cell r="A6" t="str">
            <v>Cognizant QROC log aggregation and correlation</v>
          </cell>
          <cell r="B6">
            <v>1</v>
          </cell>
        </row>
        <row r="7">
          <cell r="A7" t="str">
            <v>Content Delivery Network (CDN, Akamai)</v>
          </cell>
          <cell r="B7">
            <v>3</v>
          </cell>
        </row>
        <row r="8">
          <cell r="A8" t="str">
            <v>MCD Workplace</v>
          </cell>
          <cell r="B8">
            <v>1</v>
          </cell>
        </row>
        <row r="9">
          <cell r="A9" t="str">
            <v>Network Services</v>
          </cell>
          <cell r="B9">
            <v>9</v>
          </cell>
        </row>
        <row r="10">
          <cell r="A10" t="str">
            <v>WAN - Cognizant</v>
          </cell>
          <cell r="B10">
            <v>2</v>
          </cell>
        </row>
        <row r="11">
          <cell r="A11" t="str">
            <v>(blank)</v>
          </cell>
        </row>
        <row r="12">
          <cell r="A12" t="str">
            <v>Grand Total</v>
          </cell>
          <cell r="B12">
            <v>31</v>
          </cell>
        </row>
        <row r="14">
          <cell r="A14" t="str">
            <v>Row Labels</v>
          </cell>
          <cell r="B14" t="str">
            <v>Count of Number</v>
          </cell>
        </row>
        <row r="15">
          <cell r="A15" t="str">
            <v>Informational</v>
          </cell>
          <cell r="B15">
            <v>1</v>
          </cell>
        </row>
        <row r="16">
          <cell r="A16" t="str">
            <v>Normal</v>
          </cell>
          <cell r="B16">
            <v>11</v>
          </cell>
        </row>
        <row r="17">
          <cell r="A17" t="str">
            <v>Standard</v>
          </cell>
          <cell r="B17">
            <v>19</v>
          </cell>
        </row>
        <row r="18">
          <cell r="A18" t="str">
            <v>(blank)</v>
          </cell>
        </row>
        <row r="19">
          <cell r="A19" t="str">
            <v>Grand Total</v>
          </cell>
          <cell r="B19">
            <v>31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2"/>
  <sheetViews>
    <sheetView showGridLines="0" zoomScaleNormal="100" workbookViewId="0">
      <selection activeCell="D29" sqref="D29"/>
    </sheetView>
  </sheetViews>
  <sheetFormatPr defaultColWidth="9.08984375" defaultRowHeight="14.5" x14ac:dyDescent="0.35"/>
  <cols>
    <col min="2" max="2" width="0" hidden="1" customWidth="1"/>
    <col min="3" max="3" width="10.453125" bestFit="1" customWidth="1"/>
    <col min="4" max="4" width="16.1796875" style="16" bestFit="1" customWidth="1"/>
    <col min="5" max="5" width="21.81640625" style="16" bestFit="1" customWidth="1"/>
    <col min="6" max="8" width="9.08984375" style="16"/>
    <col min="9" max="9" width="9.08984375" style="17"/>
  </cols>
  <sheetData>
    <row r="1" spans="2:11" x14ac:dyDescent="0.35">
      <c r="B1" s="1" t="s">
        <v>0</v>
      </c>
      <c r="C1" s="1" t="s">
        <v>1</v>
      </c>
    </row>
    <row r="2" spans="2:11" x14ac:dyDescent="0.35">
      <c r="B2" s="1" t="s">
        <v>2</v>
      </c>
      <c r="C2" s="1" t="s">
        <v>3</v>
      </c>
    </row>
    <row r="4" spans="2:11" ht="15" thickBot="1" x14ac:dyDescent="0.4"/>
    <row r="5" spans="2:11" ht="15" thickBot="1" x14ac:dyDescent="0.4"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18" t="s">
        <v>10</v>
      </c>
      <c r="J5" s="6" t="s">
        <v>11</v>
      </c>
    </row>
    <row r="6" spans="2:11" x14ac:dyDescent="0.35">
      <c r="B6" s="42" t="s">
        <v>12</v>
      </c>
      <c r="C6" s="11" t="s">
        <v>13</v>
      </c>
      <c r="D6" s="11" t="s">
        <v>14</v>
      </c>
      <c r="E6" s="11"/>
      <c r="F6" s="11">
        <v>0</v>
      </c>
      <c r="G6" s="11">
        <v>0</v>
      </c>
      <c r="H6" s="19">
        <v>0.99</v>
      </c>
      <c r="I6" s="20"/>
      <c r="J6" s="21">
        <v>0.98</v>
      </c>
    </row>
    <row r="7" spans="2:11" ht="15" thickBot="1" x14ac:dyDescent="0.4">
      <c r="B7" s="43" t="s">
        <v>12</v>
      </c>
      <c r="C7" s="2" t="s">
        <v>15</v>
      </c>
      <c r="D7" s="2" t="s">
        <v>16</v>
      </c>
      <c r="E7" s="22" t="str">
        <f>IFERROR(GETPIVOTDATA("Average of Time to Respond",#REF!,"Priority","2 - High"),"NA")</f>
        <v>NA</v>
      </c>
      <c r="F7" s="23" t="str">
        <f>IFERROR(GETPIVOTDATA("Number",#REF!,"Priority","2 - High"),"NA")</f>
        <v>NA</v>
      </c>
      <c r="G7" s="23" t="e">
        <f>#REF!</f>
        <v>#REF!</v>
      </c>
      <c r="H7" s="12">
        <v>0.99</v>
      </c>
      <c r="I7" s="27" t="str">
        <f>IFERROR(G7/F7,"NA")</f>
        <v>NA</v>
      </c>
      <c r="J7" s="13">
        <v>0.98</v>
      </c>
    </row>
    <row r="8" spans="2:11" x14ac:dyDescent="0.35">
      <c r="B8" s="43" t="s">
        <v>12</v>
      </c>
      <c r="C8" s="2" t="s">
        <v>17</v>
      </c>
      <c r="D8" s="2" t="s">
        <v>18</v>
      </c>
      <c r="E8" s="22" t="e">
        <f>GETPIVOTDATA("Average of Time to Respond",#REF!,"Priority","3 - Moderate")</f>
        <v>#REF!</v>
      </c>
      <c r="F8" s="23" t="e">
        <f>GETPIVOTDATA("Number",#REF!,"Priority","3 - Moderate")</f>
        <v>#REF!</v>
      </c>
      <c r="G8" s="23" t="e">
        <f>#REF!</f>
        <v>#REF!</v>
      </c>
      <c r="H8" s="12">
        <v>0.98</v>
      </c>
      <c r="I8" s="24" t="str">
        <f>IFERROR(G8/F8,"NA")</f>
        <v>NA</v>
      </c>
      <c r="J8" s="13">
        <v>0.95</v>
      </c>
    </row>
    <row r="9" spans="2:11" ht="15" thickBot="1" x14ac:dyDescent="0.4">
      <c r="B9" s="44" t="s">
        <v>12</v>
      </c>
      <c r="C9" s="10" t="s">
        <v>19</v>
      </c>
      <c r="D9" s="10" t="s">
        <v>20</v>
      </c>
      <c r="E9" s="25" t="e">
        <f>GETPIVOTDATA("Average of Time to Respond",#REF!,"Priority","4 - Low")</f>
        <v>#REF!</v>
      </c>
      <c r="F9" s="26" t="e">
        <f>GETPIVOTDATA("Number",#REF!,"Priority","4 - Low")</f>
        <v>#REF!</v>
      </c>
      <c r="G9" s="26" t="e">
        <f>#REF!</f>
        <v>#REF!</v>
      </c>
      <c r="H9" s="14">
        <v>0.98</v>
      </c>
      <c r="I9" s="27" t="str">
        <f>IFERROR(G9/F9,"NA")</f>
        <v>NA</v>
      </c>
      <c r="J9" s="15">
        <v>0.95</v>
      </c>
    </row>
    <row r="11" spans="2:11" ht="15" thickBot="1" x14ac:dyDescent="0.4">
      <c r="B11" s="1" t="s">
        <v>21</v>
      </c>
      <c r="C11" s="41" t="s">
        <v>22</v>
      </c>
    </row>
    <row r="12" spans="2:11" ht="15" thickBot="1" x14ac:dyDescent="0.4">
      <c r="C12" s="4" t="s">
        <v>23</v>
      </c>
      <c r="D12" s="5" t="s">
        <v>5</v>
      </c>
      <c r="E12" s="5" t="s">
        <v>24</v>
      </c>
      <c r="F12" s="5" t="s">
        <v>25</v>
      </c>
      <c r="G12" s="5" t="s">
        <v>8</v>
      </c>
      <c r="H12" s="5" t="s">
        <v>9</v>
      </c>
      <c r="I12" s="28" t="s">
        <v>10</v>
      </c>
    </row>
    <row r="13" spans="2:11" x14ac:dyDescent="0.35">
      <c r="B13" s="9" t="s">
        <v>26</v>
      </c>
      <c r="C13" s="29" t="s">
        <v>13</v>
      </c>
      <c r="D13" s="11" t="s">
        <v>27</v>
      </c>
      <c r="E13" s="11"/>
      <c r="F13" s="11">
        <v>0</v>
      </c>
      <c r="G13" s="11">
        <v>0</v>
      </c>
      <c r="H13" s="19">
        <v>0.99</v>
      </c>
      <c r="I13" s="30"/>
      <c r="J13" s="3"/>
    </row>
    <row r="14" spans="2:11" x14ac:dyDescent="0.35">
      <c r="B14" s="7" t="s">
        <v>26</v>
      </c>
      <c r="C14" s="31" t="s">
        <v>15</v>
      </c>
      <c r="D14" s="2" t="s">
        <v>28</v>
      </c>
      <c r="E14" s="22" t="str">
        <f>IFERROR(GETPIVOTDATA("Average of Time to Resolve",#REF!,"Priority","2 - High"),"NA")</f>
        <v>NA</v>
      </c>
      <c r="F14" s="23" t="str">
        <f>IFERROR(GETPIVOTDATA("Time to Resolve",#REF!,"Priority","2 - High"),"NA")</f>
        <v>NA</v>
      </c>
      <c r="G14" s="23" t="e">
        <f>#REF!</f>
        <v>#REF!</v>
      </c>
      <c r="H14" s="12">
        <v>0.98</v>
      </c>
      <c r="I14" s="32" t="str">
        <f>IFERROR(G14/F14,"NA")</f>
        <v>NA</v>
      </c>
      <c r="J14" s="3"/>
    </row>
    <row r="15" spans="2:11" x14ac:dyDescent="0.35">
      <c r="B15" s="7" t="s">
        <v>12</v>
      </c>
      <c r="C15" s="31" t="s">
        <v>17</v>
      </c>
      <c r="D15" s="2" t="s">
        <v>20</v>
      </c>
      <c r="E15" s="22" t="str">
        <f>IFERROR(GETPIVOTDATA("Time to Resolve",#REF!,"Priority","3 - Moderate"),"NA")</f>
        <v>NA</v>
      </c>
      <c r="F15" s="23" t="e">
        <f>GETPIVOTDATA("Time to Resolve",#REF!,"Priority","3 - Moderate")</f>
        <v>#REF!</v>
      </c>
      <c r="G15" s="23" t="e">
        <f>#REF!</f>
        <v>#REF!</v>
      </c>
      <c r="H15" s="12">
        <v>0.98</v>
      </c>
      <c r="I15" s="32" t="str">
        <f>IFERROR(G15/F15,"NA")</f>
        <v>NA</v>
      </c>
      <c r="J15" s="3"/>
      <c r="K15" s="3"/>
    </row>
    <row r="16" spans="2:11" ht="15" thickBot="1" x14ac:dyDescent="0.4">
      <c r="B16" s="8" t="s">
        <v>12</v>
      </c>
      <c r="C16" s="33" t="s">
        <v>19</v>
      </c>
      <c r="D16" s="10" t="s">
        <v>29</v>
      </c>
      <c r="E16" s="25" t="str">
        <f>IFERROR(GETPIVOTDATA("Time to Resolve",#REF!,"Priority","4 - Low"),"NA")</f>
        <v>NA</v>
      </c>
      <c r="F16" s="26" t="e">
        <f>GETPIVOTDATA("Time to Resolve",#REF!,"Priority","4 - Low")</f>
        <v>#REF!</v>
      </c>
      <c r="G16" s="26" t="e">
        <f>#REF!</f>
        <v>#REF!</v>
      </c>
      <c r="H16" s="14">
        <v>0.98</v>
      </c>
      <c r="I16" s="34" t="str">
        <f>IFERROR(G16/F16,"NA")</f>
        <v>NA</v>
      </c>
      <c r="J16" s="3"/>
      <c r="K16" s="3"/>
    </row>
    <row r="18" spans="2:9" ht="15" thickBot="1" x14ac:dyDescent="0.4">
      <c r="B18" s="1" t="s">
        <v>30</v>
      </c>
      <c r="C18" s="41" t="s">
        <v>31</v>
      </c>
    </row>
    <row r="19" spans="2:9" ht="15" thickBot="1" x14ac:dyDescent="0.4">
      <c r="C19" s="4" t="s">
        <v>23</v>
      </c>
      <c r="D19" s="5" t="s">
        <v>5</v>
      </c>
      <c r="E19" s="5" t="s">
        <v>24</v>
      </c>
      <c r="F19" s="5" t="s">
        <v>7</v>
      </c>
      <c r="G19" s="5" t="s">
        <v>8</v>
      </c>
      <c r="H19" s="5" t="s">
        <v>9</v>
      </c>
      <c r="I19" s="28" t="s">
        <v>10</v>
      </c>
    </row>
    <row r="20" spans="2:9" x14ac:dyDescent="0.35">
      <c r="B20" s="9" t="s">
        <v>26</v>
      </c>
      <c r="C20" s="29" t="s">
        <v>13</v>
      </c>
      <c r="D20" s="11" t="s">
        <v>32</v>
      </c>
      <c r="E20" s="35"/>
      <c r="F20" s="11">
        <v>0</v>
      </c>
      <c r="G20" s="11">
        <v>0</v>
      </c>
      <c r="H20" s="19">
        <v>0.99</v>
      </c>
      <c r="I20" s="38" t="s">
        <v>33</v>
      </c>
    </row>
    <row r="21" spans="2:9" x14ac:dyDescent="0.35">
      <c r="B21" s="7" t="s">
        <v>26</v>
      </c>
      <c r="C21" s="31" t="s">
        <v>15</v>
      </c>
      <c r="D21" s="2" t="s">
        <v>34</v>
      </c>
      <c r="E21" s="36"/>
      <c r="F21" s="23">
        <v>0</v>
      </c>
      <c r="G21" s="23">
        <v>0</v>
      </c>
      <c r="H21" s="12">
        <v>0.98</v>
      </c>
      <c r="I21" s="39" t="str">
        <f>IFERROR(G21/F21,"NA")</f>
        <v>NA</v>
      </c>
    </row>
    <row r="22" spans="2:9" x14ac:dyDescent="0.35">
      <c r="B22" s="7" t="s">
        <v>12</v>
      </c>
      <c r="C22" s="31" t="s">
        <v>17</v>
      </c>
      <c r="D22" s="2" t="s">
        <v>35</v>
      </c>
      <c r="E22" s="36"/>
      <c r="F22" s="23">
        <v>0</v>
      </c>
      <c r="G22" s="23">
        <v>0</v>
      </c>
      <c r="H22" s="12">
        <v>0.98</v>
      </c>
      <c r="I22" s="39" t="str">
        <f>IFERROR(G22/F22,"NA")</f>
        <v>NA</v>
      </c>
    </row>
    <row r="23" spans="2:9" ht="15" thickBot="1" x14ac:dyDescent="0.4">
      <c r="B23" s="8" t="s">
        <v>12</v>
      </c>
      <c r="C23" s="33" t="s">
        <v>19</v>
      </c>
      <c r="D23" s="10" t="s">
        <v>36</v>
      </c>
      <c r="E23" s="37"/>
      <c r="F23" s="26">
        <v>0</v>
      </c>
      <c r="G23" s="26">
        <v>0</v>
      </c>
      <c r="H23" s="14">
        <v>0.98</v>
      </c>
      <c r="I23" s="40" t="str">
        <f>IFERROR(G23/F23,"NA")</f>
        <v>NA</v>
      </c>
    </row>
    <row r="27" spans="2:9" ht="15" thickBot="1" x14ac:dyDescent="0.4"/>
    <row r="28" spans="2:9" ht="15" thickBot="1" x14ac:dyDescent="0.4">
      <c r="C28" s="4" t="s">
        <v>37</v>
      </c>
      <c r="D28" s="47" t="s">
        <v>38</v>
      </c>
    </row>
    <row r="29" spans="2:9" x14ac:dyDescent="0.35">
      <c r="C29" s="45" t="s">
        <v>39</v>
      </c>
      <c r="D29" s="29" t="str">
        <f>IFERROR(GETPIVOTDATA("Number",#REF!,"Priority","2 - High"),"NA")</f>
        <v>NA</v>
      </c>
      <c r="E29" s="48" t="s">
        <v>40</v>
      </c>
    </row>
    <row r="30" spans="2:9" x14ac:dyDescent="0.35">
      <c r="C30" s="45" t="s">
        <v>41</v>
      </c>
      <c r="D30" s="29" t="e">
        <f>GETPIVOTDATA("Number",#REF!,"Priority","3 - Moderate")</f>
        <v>#REF!</v>
      </c>
    </row>
    <row r="31" spans="2:9" ht="15" thickBot="1" x14ac:dyDescent="0.4">
      <c r="C31" s="45" t="s">
        <v>42</v>
      </c>
      <c r="D31" s="29" t="e">
        <f>GETPIVOTDATA("Number",#REF!,"Priority","4 - Low")</f>
        <v>#REF!</v>
      </c>
    </row>
    <row r="32" spans="2:9" ht="15" thickBot="1" x14ac:dyDescent="0.4">
      <c r="C32" s="46" t="s">
        <v>43</v>
      </c>
      <c r="D32" s="46" t="e">
        <f>GETPIVOTDATA("Number",#REF!)</f>
        <v>#REF!</v>
      </c>
    </row>
  </sheetData>
  <pageMargins left="0.7" right="0.7" top="0.75" bottom="0.75" header="0.3" footer="0.3"/>
  <pageSetup orientation="portrait" horizontalDpi="90" verticalDpi="9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31"/>
  <sheetViews>
    <sheetView showGridLines="0" zoomScaleNormal="100" workbookViewId="0">
      <selection activeCell="G8" sqref="G8"/>
    </sheetView>
  </sheetViews>
  <sheetFormatPr defaultColWidth="9.08984375" defaultRowHeight="14.5" x14ac:dyDescent="0.35"/>
  <cols>
    <col min="2" max="2" width="0" hidden="1" customWidth="1"/>
    <col min="3" max="3" width="10.453125" bestFit="1" customWidth="1"/>
    <col min="4" max="4" width="19.81640625" style="16" customWidth="1"/>
    <col min="5" max="5" width="21.81640625" style="16" bestFit="1" customWidth="1"/>
    <col min="6" max="8" width="9.08984375" style="16"/>
    <col min="9" max="9" width="9.08984375" style="17"/>
  </cols>
  <sheetData>
    <row r="1" spans="2:11" x14ac:dyDescent="0.35">
      <c r="B1" s="1" t="s">
        <v>0</v>
      </c>
      <c r="C1" s="1" t="s">
        <v>44</v>
      </c>
    </row>
    <row r="2" spans="2:11" x14ac:dyDescent="0.35">
      <c r="B2" s="1" t="s">
        <v>2</v>
      </c>
      <c r="C2" s="1" t="s">
        <v>3</v>
      </c>
    </row>
    <row r="4" spans="2:11" ht="15" thickBot="1" x14ac:dyDescent="0.4"/>
    <row r="5" spans="2:11" ht="15" thickBot="1" x14ac:dyDescent="0.4"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18" t="s">
        <v>10</v>
      </c>
      <c r="J5" s="6" t="s">
        <v>11</v>
      </c>
    </row>
    <row r="6" spans="2:11" x14ac:dyDescent="0.35">
      <c r="B6" s="42" t="s">
        <v>12</v>
      </c>
      <c r="C6" s="11" t="s">
        <v>13</v>
      </c>
      <c r="D6" s="11" t="s">
        <v>14</v>
      </c>
      <c r="E6" s="11"/>
      <c r="F6" s="11">
        <v>0</v>
      </c>
      <c r="G6" s="11">
        <v>0</v>
      </c>
      <c r="H6" s="19">
        <v>0.99</v>
      </c>
      <c r="I6" s="20"/>
      <c r="J6" s="21">
        <v>0.98</v>
      </c>
    </row>
    <row r="7" spans="2:11" ht="15" thickBot="1" x14ac:dyDescent="0.4">
      <c r="B7" s="43" t="s">
        <v>12</v>
      </c>
      <c r="C7" s="2" t="s">
        <v>15</v>
      </c>
      <c r="D7" s="2" t="s">
        <v>16</v>
      </c>
      <c r="E7" s="22" t="s">
        <v>33</v>
      </c>
      <c r="F7" s="23">
        <v>0</v>
      </c>
      <c r="G7" s="23">
        <v>0</v>
      </c>
      <c r="H7" s="12">
        <v>0.98</v>
      </c>
      <c r="I7" s="27" t="str">
        <f>IFERROR(G7/F7,"NA")</f>
        <v>NA</v>
      </c>
      <c r="J7" s="13">
        <v>0.98</v>
      </c>
    </row>
    <row r="8" spans="2:11" x14ac:dyDescent="0.35">
      <c r="B8" s="43" t="s">
        <v>12</v>
      </c>
      <c r="C8" s="2" t="s">
        <v>17</v>
      </c>
      <c r="D8" s="2" t="s">
        <v>18</v>
      </c>
      <c r="E8" s="22" t="e">
        <f>GETPIVOTDATA("Time to Respond",#REF!,"Priority","3 - Moderate")</f>
        <v>#REF!</v>
      </c>
      <c r="F8" s="23">
        <v>1</v>
      </c>
      <c r="G8" s="23">
        <v>1</v>
      </c>
      <c r="H8" s="12">
        <v>0.97</v>
      </c>
      <c r="I8" s="24">
        <f>IFERROR(G8/F8,"NA")</f>
        <v>1</v>
      </c>
      <c r="J8" s="13">
        <v>0.95</v>
      </c>
    </row>
    <row r="9" spans="2:11" ht="15" thickBot="1" x14ac:dyDescent="0.4">
      <c r="B9" s="44" t="s">
        <v>12</v>
      </c>
      <c r="C9" s="10" t="s">
        <v>19</v>
      </c>
      <c r="D9" s="10" t="s">
        <v>20</v>
      </c>
      <c r="E9" s="25" t="e">
        <f>GETPIVOTDATA("Time to Respond",#REF!,"Priority","4 - Low")</f>
        <v>#REF!</v>
      </c>
      <c r="F9" s="26">
        <v>1</v>
      </c>
      <c r="G9" s="26">
        <v>1</v>
      </c>
      <c r="H9" s="14">
        <v>0.95</v>
      </c>
      <c r="I9" s="27">
        <f>IFERROR(G9/F9,"NA")</f>
        <v>1</v>
      </c>
      <c r="J9" s="15">
        <v>0.95</v>
      </c>
    </row>
    <row r="11" spans="2:11" ht="15" thickBot="1" x14ac:dyDescent="0.4">
      <c r="B11" s="1" t="s">
        <v>21</v>
      </c>
      <c r="C11" s="41"/>
    </row>
    <row r="12" spans="2:11" ht="15" thickBot="1" x14ac:dyDescent="0.4">
      <c r="C12" s="4" t="s">
        <v>23</v>
      </c>
      <c r="D12" s="5" t="s">
        <v>5</v>
      </c>
      <c r="E12" s="5" t="s">
        <v>24</v>
      </c>
      <c r="F12" s="5" t="s">
        <v>25</v>
      </c>
      <c r="G12" s="5" t="s">
        <v>8</v>
      </c>
      <c r="H12" s="5" t="s">
        <v>9</v>
      </c>
      <c r="I12" s="28" t="s">
        <v>10</v>
      </c>
    </row>
    <row r="13" spans="2:11" x14ac:dyDescent="0.35">
      <c r="B13" s="9" t="s">
        <v>26</v>
      </c>
      <c r="C13" s="29" t="s">
        <v>13</v>
      </c>
      <c r="D13" s="11" t="s">
        <v>27</v>
      </c>
      <c r="E13" s="11"/>
      <c r="F13" s="11">
        <v>0</v>
      </c>
      <c r="G13" s="11">
        <v>0</v>
      </c>
      <c r="H13" s="19">
        <v>0.99</v>
      </c>
      <c r="I13" s="30"/>
      <c r="J13" s="3"/>
    </row>
    <row r="14" spans="2:11" x14ac:dyDescent="0.35">
      <c r="B14" s="7" t="s">
        <v>26</v>
      </c>
      <c r="C14" s="31" t="s">
        <v>15</v>
      </c>
      <c r="D14" s="2" t="s">
        <v>32</v>
      </c>
      <c r="E14" s="22" t="str">
        <f>IFERROR(GETPIVOTDATA("Average of Time to Resolve",#REF!,"Priority","2 - High"),"NA")</f>
        <v>NA</v>
      </c>
      <c r="F14" s="23">
        <v>0</v>
      </c>
      <c r="G14" s="23">
        <v>0</v>
      </c>
      <c r="H14" s="12">
        <v>0.98</v>
      </c>
      <c r="I14" s="32" t="str">
        <f>IFERROR(G14/F14,"NA")</f>
        <v>NA</v>
      </c>
      <c r="J14" s="3"/>
    </row>
    <row r="15" spans="2:11" x14ac:dyDescent="0.35">
      <c r="B15" s="7" t="s">
        <v>12</v>
      </c>
      <c r="C15" s="31" t="s">
        <v>17</v>
      </c>
      <c r="D15" s="2" t="s">
        <v>20</v>
      </c>
      <c r="E15" s="22" t="e">
        <f>GETPIVOTDATA("Time to Resolve",#REF!,"Priority","3 - Moderate")</f>
        <v>#REF!</v>
      </c>
      <c r="F15" s="23">
        <v>1</v>
      </c>
      <c r="G15" s="23">
        <v>1</v>
      </c>
      <c r="H15" s="12">
        <v>0.97</v>
      </c>
      <c r="I15" s="32">
        <f>IFERROR(G15/F15,"NA")</f>
        <v>1</v>
      </c>
      <c r="J15" s="3"/>
      <c r="K15" s="3"/>
    </row>
    <row r="16" spans="2:11" ht="15" thickBot="1" x14ac:dyDescent="0.4">
      <c r="B16" s="8" t="s">
        <v>12</v>
      </c>
      <c r="C16" s="33" t="s">
        <v>19</v>
      </c>
      <c r="D16" s="10" t="s">
        <v>45</v>
      </c>
      <c r="E16" s="25" t="s">
        <v>33</v>
      </c>
      <c r="F16" s="26">
        <v>0</v>
      </c>
      <c r="G16" s="26">
        <v>0</v>
      </c>
      <c r="H16" s="14">
        <v>0.95</v>
      </c>
      <c r="I16" s="34" t="str">
        <f>IFERROR(G16/F16,"NA")</f>
        <v>NA</v>
      </c>
      <c r="J16" s="3"/>
      <c r="K16" s="3"/>
    </row>
    <row r="18" spans="2:9" x14ac:dyDescent="0.35">
      <c r="B18" s="1" t="s">
        <v>30</v>
      </c>
      <c r="C18" s="41"/>
    </row>
    <row r="19" spans="2:9" ht="15" thickBot="1" x14ac:dyDescent="0.4">
      <c r="C19" s="56"/>
      <c r="D19" s="56"/>
      <c r="E19" s="56"/>
      <c r="F19" s="56"/>
      <c r="G19" s="56"/>
      <c r="H19" s="56"/>
      <c r="I19" s="57"/>
    </row>
    <row r="20" spans="2:9" x14ac:dyDescent="0.35">
      <c r="B20" s="42" t="s">
        <v>26</v>
      </c>
      <c r="C20" s="3"/>
      <c r="D20" s="3"/>
      <c r="E20" s="51"/>
      <c r="F20" s="3"/>
      <c r="G20" s="3"/>
      <c r="H20" s="52"/>
      <c r="I20" s="53"/>
    </row>
    <row r="21" spans="2:9" x14ac:dyDescent="0.35">
      <c r="B21" s="43" t="s">
        <v>26</v>
      </c>
      <c r="C21" s="3"/>
      <c r="D21" s="3"/>
      <c r="E21" s="54"/>
      <c r="F21" s="55"/>
      <c r="G21" s="55"/>
      <c r="H21" s="52"/>
      <c r="I21" s="53"/>
    </row>
    <row r="22" spans="2:9" x14ac:dyDescent="0.35">
      <c r="B22" s="43" t="s">
        <v>12</v>
      </c>
      <c r="C22" s="3"/>
      <c r="D22" s="3"/>
      <c r="E22" s="54"/>
      <c r="F22" s="55"/>
      <c r="G22" s="55"/>
      <c r="H22" s="52"/>
      <c r="I22" s="53"/>
    </row>
    <row r="23" spans="2:9" ht="15" thickBot="1" x14ac:dyDescent="0.4">
      <c r="B23" s="44" t="s">
        <v>12</v>
      </c>
      <c r="C23" s="3"/>
      <c r="D23" s="3"/>
      <c r="E23" s="54"/>
      <c r="F23" s="55"/>
      <c r="G23" s="55"/>
      <c r="H23" s="52"/>
      <c r="I23" s="53"/>
    </row>
    <row r="28" spans="2:9" x14ac:dyDescent="0.35">
      <c r="C28" s="49" t="s">
        <v>37</v>
      </c>
      <c r="D28" s="50" t="s">
        <v>38</v>
      </c>
    </row>
    <row r="29" spans="2:9" x14ac:dyDescent="0.35">
      <c r="C29" s="2" t="s">
        <v>41</v>
      </c>
      <c r="D29" s="2">
        <v>1</v>
      </c>
    </row>
    <row r="30" spans="2:9" x14ac:dyDescent="0.35">
      <c r="C30" s="2" t="s">
        <v>42</v>
      </c>
      <c r="D30" s="2">
        <v>1</v>
      </c>
    </row>
    <row r="31" spans="2:9" x14ac:dyDescent="0.35">
      <c r="C31" s="49" t="s">
        <v>43</v>
      </c>
      <c r="D31" s="49">
        <v>2</v>
      </c>
    </row>
  </sheetData>
  <pageMargins left="0.7" right="0.7" top="0.75" bottom="0.75" header="0.3" footer="0.3"/>
  <pageSetup orientation="portrait" horizontalDpi="90" verticalDpi="9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N20"/>
  <sheetViews>
    <sheetView workbookViewId="0">
      <pane xSplit="1" topLeftCell="EQ1" activePane="topRight" state="frozen"/>
      <selection pane="topRight" activeCell="FP17" sqref="FP17"/>
    </sheetView>
  </sheetViews>
  <sheetFormatPr defaultColWidth="8.90625" defaultRowHeight="13" x14ac:dyDescent="0.3"/>
  <cols>
    <col min="1" max="3" width="8.90625" style="58"/>
    <col min="4" max="5" width="9.08984375" style="91"/>
    <col min="6" max="8" width="8.90625" style="58"/>
    <col min="9" max="9" width="13.1796875" style="58" bestFit="1" customWidth="1"/>
    <col min="10" max="10" width="9.08984375" style="91"/>
    <col min="11" max="12" width="8.90625" style="58"/>
    <col min="13" max="13" width="9.08984375" style="99"/>
    <col min="14" max="14" width="9.81640625" style="58" customWidth="1"/>
    <col min="15" max="15" width="8.90625" style="58"/>
    <col min="16" max="16" width="11.81640625" style="58" bestFit="1" customWidth="1"/>
    <col min="17" max="20" width="8.90625" style="58"/>
    <col min="21" max="21" width="13.453125" style="58" bestFit="1" customWidth="1"/>
    <col min="22" max="29" width="8.90625" style="58"/>
    <col min="30" max="30" width="9.08984375" style="99"/>
    <col min="31" max="36" width="8.90625" style="58"/>
    <col min="37" max="44" width="9.08984375" style="99"/>
    <col min="45" max="47" width="8.90625" style="58"/>
    <col min="48" max="49" width="9.08984375" style="99"/>
    <col min="50" max="16384" width="8.90625" style="58"/>
  </cols>
  <sheetData>
    <row r="1" spans="1:170" x14ac:dyDescent="0.3">
      <c r="B1" s="58" t="s">
        <v>106</v>
      </c>
      <c r="C1" s="58" t="s">
        <v>107</v>
      </c>
      <c r="D1" s="58" t="s">
        <v>108</v>
      </c>
      <c r="E1" s="102" t="s">
        <v>109</v>
      </c>
      <c r="F1" s="102" t="s">
        <v>110</v>
      </c>
      <c r="G1" s="102" t="s">
        <v>111</v>
      </c>
      <c r="H1" s="102" t="s">
        <v>112</v>
      </c>
      <c r="I1" s="102" t="s">
        <v>113</v>
      </c>
      <c r="J1" s="91" t="s">
        <v>114</v>
      </c>
      <c r="K1" s="91" t="s">
        <v>115</v>
      </c>
      <c r="L1" s="91" t="s">
        <v>116</v>
      </c>
      <c r="M1" s="91" t="s">
        <v>117</v>
      </c>
      <c r="N1" s="91" t="s">
        <v>118</v>
      </c>
      <c r="O1" s="91" t="s">
        <v>119</v>
      </c>
      <c r="P1" s="91" t="s">
        <v>120</v>
      </c>
      <c r="Q1" s="91" t="s">
        <v>121</v>
      </c>
      <c r="R1" s="91" t="s">
        <v>122</v>
      </c>
      <c r="S1" s="91" t="s">
        <v>123</v>
      </c>
      <c r="T1" s="91" t="s">
        <v>124</v>
      </c>
      <c r="U1" s="91" t="s">
        <v>125</v>
      </c>
      <c r="V1" s="91" t="s">
        <v>126</v>
      </c>
      <c r="W1" s="91" t="s">
        <v>127</v>
      </c>
      <c r="X1" s="91" t="s">
        <v>128</v>
      </c>
      <c r="Y1" s="91" t="s">
        <v>129</v>
      </c>
      <c r="Z1" s="91" t="s">
        <v>130</v>
      </c>
      <c r="AA1" s="91" t="s">
        <v>131</v>
      </c>
      <c r="AB1" s="91" t="s">
        <v>132</v>
      </c>
      <c r="AC1" s="91" t="s">
        <v>133</v>
      </c>
      <c r="AD1" s="91" t="s">
        <v>134</v>
      </c>
      <c r="AE1" s="91" t="s">
        <v>135</v>
      </c>
      <c r="AF1" s="91" t="s">
        <v>136</v>
      </c>
      <c r="AG1" s="91" t="s">
        <v>137</v>
      </c>
      <c r="AH1" s="91" t="s">
        <v>138</v>
      </c>
      <c r="AI1" s="91" t="s">
        <v>139</v>
      </c>
      <c r="AJ1" s="91" t="s">
        <v>140</v>
      </c>
      <c r="AK1" s="91" t="s">
        <v>141</v>
      </c>
      <c r="AL1" s="91" t="s">
        <v>142</v>
      </c>
      <c r="AM1" s="91" t="s">
        <v>143</v>
      </c>
      <c r="AN1" s="91" t="s">
        <v>144</v>
      </c>
      <c r="AO1" s="91" t="s">
        <v>145</v>
      </c>
      <c r="AP1" s="91" t="s">
        <v>146</v>
      </c>
      <c r="AQ1" s="91" t="s">
        <v>147</v>
      </c>
      <c r="AR1" s="91" t="s">
        <v>148</v>
      </c>
      <c r="AS1" s="91" t="s">
        <v>149</v>
      </c>
      <c r="AT1" s="91" t="s">
        <v>150</v>
      </c>
      <c r="AU1" s="91" t="s">
        <v>151</v>
      </c>
      <c r="AV1" s="91" t="s">
        <v>152</v>
      </c>
      <c r="AW1" s="91" t="s">
        <v>153</v>
      </c>
      <c r="AX1" s="91" t="s">
        <v>154</v>
      </c>
      <c r="AY1" s="91" t="s">
        <v>155</v>
      </c>
      <c r="AZ1" s="91" t="s">
        <v>156</v>
      </c>
      <c r="CN1" s="59">
        <v>2023</v>
      </c>
      <c r="EN1" s="92">
        <v>2024</v>
      </c>
    </row>
    <row r="2" spans="1:170" x14ac:dyDescent="0.3">
      <c r="A2" s="103" t="s">
        <v>157</v>
      </c>
      <c r="B2" s="103" t="s">
        <v>95</v>
      </c>
      <c r="C2" s="103" t="s">
        <v>96</v>
      </c>
      <c r="D2" s="103" t="s">
        <v>97</v>
      </c>
      <c r="E2" s="103" t="s">
        <v>46</v>
      </c>
      <c r="F2" s="103" t="s">
        <v>47</v>
      </c>
      <c r="G2" s="103" t="s">
        <v>48</v>
      </c>
      <c r="H2" s="103" t="s">
        <v>49</v>
      </c>
      <c r="I2" s="103" t="s">
        <v>50</v>
      </c>
      <c r="J2" s="103" t="s">
        <v>51</v>
      </c>
      <c r="K2" s="103" t="s">
        <v>52</v>
      </c>
      <c r="L2" s="103" t="s">
        <v>53</v>
      </c>
      <c r="M2" s="103" t="s">
        <v>54</v>
      </c>
      <c r="N2" s="103" t="s">
        <v>55</v>
      </c>
      <c r="O2" s="103" t="s">
        <v>56</v>
      </c>
      <c r="P2" s="103" t="s">
        <v>57</v>
      </c>
      <c r="Q2" s="103" t="s">
        <v>58</v>
      </c>
      <c r="R2" s="103" t="s">
        <v>59</v>
      </c>
      <c r="S2" s="103" t="s">
        <v>60</v>
      </c>
      <c r="T2" s="103" t="s">
        <v>61</v>
      </c>
      <c r="U2" s="103" t="s">
        <v>62</v>
      </c>
      <c r="V2" s="103" t="s">
        <v>63</v>
      </c>
      <c r="W2" s="103" t="s">
        <v>64</v>
      </c>
      <c r="X2" s="103" t="s">
        <v>65</v>
      </c>
      <c r="Y2" s="103" t="s">
        <v>66</v>
      </c>
      <c r="Z2" s="103" t="s">
        <v>67</v>
      </c>
      <c r="AA2" s="103" t="s">
        <v>68</v>
      </c>
      <c r="AB2" s="103" t="s">
        <v>69</v>
      </c>
      <c r="AC2" s="103" t="s">
        <v>70</v>
      </c>
      <c r="AD2" s="103" t="s">
        <v>71</v>
      </c>
      <c r="AE2" s="103" t="s">
        <v>72</v>
      </c>
      <c r="AF2" s="103" t="s">
        <v>73</v>
      </c>
      <c r="AG2" s="103" t="s">
        <v>74</v>
      </c>
      <c r="AH2" s="103" t="s">
        <v>75</v>
      </c>
      <c r="AI2" s="103" t="s">
        <v>76</v>
      </c>
      <c r="AJ2" s="103" t="s">
        <v>77</v>
      </c>
      <c r="AK2" s="103" t="s">
        <v>78</v>
      </c>
      <c r="AL2" s="103" t="s">
        <v>79</v>
      </c>
      <c r="AM2" s="103" t="s">
        <v>80</v>
      </c>
      <c r="AN2" s="104" t="s">
        <v>81</v>
      </c>
      <c r="AO2" s="104" t="s">
        <v>82</v>
      </c>
      <c r="AP2" s="104" t="s">
        <v>83</v>
      </c>
      <c r="AQ2" s="104" t="s">
        <v>84</v>
      </c>
      <c r="AR2" s="104" t="s">
        <v>85</v>
      </c>
      <c r="AS2" s="104" t="s">
        <v>86</v>
      </c>
      <c r="AT2" s="104" t="s">
        <v>87</v>
      </c>
      <c r="AU2" s="104" t="s">
        <v>88</v>
      </c>
      <c r="AV2" s="104" t="s">
        <v>89</v>
      </c>
      <c r="AW2" s="104" t="s">
        <v>90</v>
      </c>
      <c r="AX2" s="104" t="s">
        <v>91</v>
      </c>
      <c r="AY2" s="104" t="s">
        <v>92</v>
      </c>
      <c r="AZ2" s="104" t="s">
        <v>93</v>
      </c>
      <c r="BA2" s="104" t="s">
        <v>94</v>
      </c>
      <c r="BB2" s="104" t="s">
        <v>95</v>
      </c>
      <c r="BC2" s="104" t="s">
        <v>96</v>
      </c>
      <c r="BD2" s="104" t="s">
        <v>97</v>
      </c>
      <c r="BE2" s="104" t="s">
        <v>46</v>
      </c>
      <c r="BF2" s="104" t="s">
        <v>47</v>
      </c>
      <c r="BG2" s="104" t="s">
        <v>48</v>
      </c>
      <c r="BH2" s="104" t="s">
        <v>49</v>
      </c>
      <c r="BI2" s="104" t="s">
        <v>50</v>
      </c>
      <c r="BJ2" s="104" t="s">
        <v>51</v>
      </c>
      <c r="BK2" s="104" t="s">
        <v>52</v>
      </c>
      <c r="BL2" s="104" t="s">
        <v>53</v>
      </c>
      <c r="BM2" s="104" t="s">
        <v>54</v>
      </c>
      <c r="BN2" s="104" t="s">
        <v>55</v>
      </c>
      <c r="BO2" s="104" t="s">
        <v>56</v>
      </c>
      <c r="BP2" s="104" t="s">
        <v>57</v>
      </c>
      <c r="BQ2" s="104" t="s">
        <v>58</v>
      </c>
      <c r="BR2" s="104" t="s">
        <v>59</v>
      </c>
      <c r="BS2" s="104" t="s">
        <v>60</v>
      </c>
      <c r="BT2" s="104" t="s">
        <v>61</v>
      </c>
      <c r="BU2" s="104" t="s">
        <v>62</v>
      </c>
      <c r="BV2" s="104" t="s">
        <v>63</v>
      </c>
      <c r="BW2" s="104" t="s">
        <v>64</v>
      </c>
      <c r="BX2" s="104" t="s">
        <v>65</v>
      </c>
      <c r="BY2" s="104" t="s">
        <v>66</v>
      </c>
      <c r="BZ2" s="104" t="s">
        <v>67</v>
      </c>
      <c r="CA2" s="104" t="s">
        <v>68</v>
      </c>
      <c r="CB2" s="104" t="s">
        <v>69</v>
      </c>
      <c r="CC2" s="104" t="s">
        <v>70</v>
      </c>
      <c r="CD2" s="104" t="s">
        <v>71</v>
      </c>
      <c r="CE2" s="104" t="s">
        <v>72</v>
      </c>
      <c r="CF2" s="104" t="s">
        <v>73</v>
      </c>
      <c r="CG2" s="104" t="s">
        <v>74</v>
      </c>
      <c r="CH2" s="104" t="s">
        <v>75</v>
      </c>
      <c r="CI2" s="104" t="s">
        <v>76</v>
      </c>
      <c r="CJ2" s="104" t="s">
        <v>77</v>
      </c>
      <c r="CK2" s="104" t="s">
        <v>78</v>
      </c>
      <c r="CL2" s="104" t="s">
        <v>79</v>
      </c>
      <c r="CM2" s="104" t="s">
        <v>80</v>
      </c>
      <c r="CN2" s="104" t="s">
        <v>210</v>
      </c>
      <c r="CO2" s="104" t="s">
        <v>211</v>
      </c>
      <c r="CP2" s="104" t="s">
        <v>212</v>
      </c>
      <c r="CQ2" s="104" t="s">
        <v>213</v>
      </c>
      <c r="CR2" s="104" t="s">
        <v>214</v>
      </c>
      <c r="CS2" s="104" t="s">
        <v>216</v>
      </c>
      <c r="CT2" s="104" t="s">
        <v>217</v>
      </c>
      <c r="CU2" s="104" t="s">
        <v>218</v>
      </c>
      <c r="CV2" s="104" t="s">
        <v>220</v>
      </c>
      <c r="CW2" s="104" t="s">
        <v>90</v>
      </c>
      <c r="CX2" s="104" t="s">
        <v>91</v>
      </c>
      <c r="CY2" s="104" t="s">
        <v>92</v>
      </c>
      <c r="CZ2" s="104" t="s">
        <v>93</v>
      </c>
      <c r="DA2" s="104" t="s">
        <v>94</v>
      </c>
      <c r="DB2" s="104" t="s">
        <v>95</v>
      </c>
      <c r="DC2" s="104" t="s">
        <v>96</v>
      </c>
      <c r="DD2" s="104" t="s">
        <v>97</v>
      </c>
      <c r="DE2" s="104" t="s">
        <v>46</v>
      </c>
      <c r="DF2" s="104" t="s">
        <v>47</v>
      </c>
      <c r="DG2" s="104" t="s">
        <v>48</v>
      </c>
      <c r="DH2" s="104" t="s">
        <v>49</v>
      </c>
      <c r="DI2" s="104" t="s">
        <v>50</v>
      </c>
      <c r="DJ2" s="104" t="s">
        <v>51</v>
      </c>
      <c r="DK2" s="104" t="s">
        <v>52</v>
      </c>
      <c r="DL2" s="104" t="s">
        <v>53</v>
      </c>
      <c r="DM2" s="104" t="s">
        <v>54</v>
      </c>
      <c r="DN2" s="104" t="s">
        <v>55</v>
      </c>
      <c r="DO2" s="104" t="s">
        <v>56</v>
      </c>
      <c r="DP2" s="104" t="s">
        <v>57</v>
      </c>
      <c r="DQ2" s="104" t="s">
        <v>58</v>
      </c>
      <c r="DR2" s="104" t="s">
        <v>59</v>
      </c>
      <c r="DS2" s="104" t="s">
        <v>60</v>
      </c>
      <c r="DT2" s="104" t="s">
        <v>61</v>
      </c>
      <c r="DU2" s="104" t="s">
        <v>62</v>
      </c>
      <c r="DV2" s="104" t="s">
        <v>63</v>
      </c>
      <c r="DW2" s="104" t="s">
        <v>64</v>
      </c>
      <c r="DX2" s="104" t="s">
        <v>65</v>
      </c>
      <c r="DY2" s="104" t="s">
        <v>66</v>
      </c>
      <c r="DZ2" s="104" t="s">
        <v>67</v>
      </c>
      <c r="EA2" s="104" t="s">
        <v>68</v>
      </c>
      <c r="EB2" s="104" t="s">
        <v>69</v>
      </c>
      <c r="EC2" s="104" t="s">
        <v>70</v>
      </c>
      <c r="ED2" s="104" t="s">
        <v>71</v>
      </c>
      <c r="EE2" s="104" t="s">
        <v>72</v>
      </c>
      <c r="EF2" s="104" t="s">
        <v>73</v>
      </c>
      <c r="EG2" s="104" t="s">
        <v>74</v>
      </c>
      <c r="EH2" s="104" t="s">
        <v>75</v>
      </c>
      <c r="EI2" s="104" t="s">
        <v>76</v>
      </c>
      <c r="EJ2" s="104" t="s">
        <v>77</v>
      </c>
      <c r="EK2" s="104" t="s">
        <v>78</v>
      </c>
      <c r="EL2" s="104" t="s">
        <v>79</v>
      </c>
      <c r="EM2" s="104" t="s">
        <v>80</v>
      </c>
      <c r="EN2" s="104" t="s">
        <v>210</v>
      </c>
      <c r="EO2" s="104" t="s">
        <v>211</v>
      </c>
      <c r="EP2" s="104" t="s">
        <v>212</v>
      </c>
      <c r="EQ2" s="104" t="s">
        <v>213</v>
      </c>
      <c r="ER2" s="104" t="s">
        <v>214</v>
      </c>
      <c r="ES2" s="104" t="s">
        <v>216</v>
      </c>
      <c r="ET2" s="104" t="s">
        <v>217</v>
      </c>
      <c r="EU2" s="104" t="s">
        <v>218</v>
      </c>
      <c r="EV2" s="104" t="s">
        <v>220</v>
      </c>
      <c r="EW2" s="104" t="s">
        <v>90</v>
      </c>
      <c r="EX2" s="104" t="s">
        <v>91</v>
      </c>
      <c r="EY2" s="104" t="s">
        <v>92</v>
      </c>
      <c r="EZ2" s="104" t="s">
        <v>93</v>
      </c>
      <c r="FA2" s="104" t="s">
        <v>94</v>
      </c>
      <c r="FB2" s="104" t="s">
        <v>95</v>
      </c>
      <c r="FC2" s="104" t="s">
        <v>96</v>
      </c>
      <c r="FD2" s="104" t="s">
        <v>97</v>
      </c>
      <c r="FE2" s="104" t="s">
        <v>46</v>
      </c>
      <c r="FF2" s="104" t="s">
        <v>47</v>
      </c>
      <c r="FG2" s="104" t="s">
        <v>48</v>
      </c>
      <c r="FH2" s="104" t="s">
        <v>49</v>
      </c>
      <c r="FI2" s="104" t="s">
        <v>50</v>
      </c>
      <c r="FJ2" s="104" t="s">
        <v>51</v>
      </c>
      <c r="FK2" s="104" t="s">
        <v>52</v>
      </c>
      <c r="FL2" s="104" t="s">
        <v>53</v>
      </c>
      <c r="FM2" s="104" t="s">
        <v>54</v>
      </c>
      <c r="FN2" s="104" t="s">
        <v>55</v>
      </c>
    </row>
    <row r="3" spans="1:170" x14ac:dyDescent="0.3">
      <c r="A3" s="61" t="s">
        <v>13</v>
      </c>
      <c r="B3" s="61">
        <v>0</v>
      </c>
      <c r="C3" s="61">
        <v>0</v>
      </c>
      <c r="D3" s="61">
        <v>0</v>
      </c>
      <c r="E3" s="61">
        <v>0</v>
      </c>
      <c r="F3" s="61">
        <v>0</v>
      </c>
      <c r="G3" s="61">
        <v>0</v>
      </c>
      <c r="H3" s="61">
        <v>0</v>
      </c>
      <c r="I3" s="61">
        <v>0</v>
      </c>
      <c r="J3" s="91">
        <v>0</v>
      </c>
      <c r="K3" s="91">
        <v>0</v>
      </c>
      <c r="L3" s="91">
        <v>0</v>
      </c>
      <c r="M3" s="91">
        <v>1</v>
      </c>
      <c r="N3" s="91">
        <v>0</v>
      </c>
      <c r="O3" s="91">
        <v>0</v>
      </c>
      <c r="P3" s="91">
        <v>1</v>
      </c>
      <c r="Q3" s="91">
        <v>0</v>
      </c>
      <c r="R3" s="91">
        <v>0</v>
      </c>
      <c r="S3" s="91">
        <v>0</v>
      </c>
      <c r="T3" s="91">
        <v>0</v>
      </c>
      <c r="U3" s="91">
        <v>0</v>
      </c>
      <c r="V3" s="91">
        <v>1</v>
      </c>
      <c r="W3" s="91">
        <v>0</v>
      </c>
      <c r="X3" s="91">
        <v>1</v>
      </c>
      <c r="Y3" s="91">
        <v>1</v>
      </c>
      <c r="Z3" s="91">
        <v>0</v>
      </c>
      <c r="AA3" s="91">
        <v>0</v>
      </c>
      <c r="AB3" s="91">
        <v>0</v>
      </c>
      <c r="AC3" s="91">
        <v>0</v>
      </c>
      <c r="AD3" s="91">
        <v>0</v>
      </c>
      <c r="AE3" s="91">
        <v>0</v>
      </c>
      <c r="AF3" s="91">
        <v>1</v>
      </c>
      <c r="AG3" s="91">
        <v>0</v>
      </c>
      <c r="AH3" s="91">
        <v>0</v>
      </c>
      <c r="AI3" s="91">
        <v>0</v>
      </c>
      <c r="AJ3" s="91">
        <v>0</v>
      </c>
      <c r="AK3" s="91">
        <v>0</v>
      </c>
      <c r="AL3" s="99">
        <v>0</v>
      </c>
      <c r="AM3" s="91">
        <v>0</v>
      </c>
      <c r="AN3" s="91">
        <v>0</v>
      </c>
      <c r="AO3" s="91">
        <v>0</v>
      </c>
      <c r="AP3" s="91">
        <v>0</v>
      </c>
      <c r="AQ3" s="91">
        <v>0</v>
      </c>
      <c r="AR3" s="91">
        <v>0</v>
      </c>
      <c r="AS3" s="91">
        <v>0</v>
      </c>
      <c r="AT3" s="91">
        <v>0</v>
      </c>
      <c r="AU3" s="91">
        <v>0</v>
      </c>
      <c r="AV3" s="91">
        <v>0</v>
      </c>
      <c r="AW3" s="91">
        <v>0</v>
      </c>
      <c r="AX3" s="91">
        <v>0</v>
      </c>
      <c r="AY3" s="91">
        <v>0</v>
      </c>
      <c r="AZ3" s="91">
        <v>0</v>
      </c>
      <c r="BA3" s="91">
        <v>0</v>
      </c>
      <c r="BB3" s="91">
        <v>0</v>
      </c>
      <c r="BC3" s="91">
        <v>0</v>
      </c>
      <c r="BD3" s="91">
        <v>0</v>
      </c>
      <c r="BE3" s="91">
        <v>0</v>
      </c>
      <c r="BF3" s="91">
        <v>0</v>
      </c>
      <c r="BG3" s="91">
        <v>0</v>
      </c>
      <c r="BH3" s="91">
        <v>0</v>
      </c>
      <c r="BI3" s="91">
        <v>0</v>
      </c>
      <c r="BJ3" s="91">
        <v>0</v>
      </c>
      <c r="BK3" s="91">
        <v>0</v>
      </c>
      <c r="BL3" s="91">
        <v>0</v>
      </c>
      <c r="BM3" s="91">
        <v>0</v>
      </c>
      <c r="BN3" s="91">
        <v>0</v>
      </c>
      <c r="BO3" s="91">
        <v>0</v>
      </c>
      <c r="BP3" s="91">
        <v>0</v>
      </c>
      <c r="BQ3" s="91">
        <v>0</v>
      </c>
      <c r="BR3" s="91">
        <v>0</v>
      </c>
      <c r="BS3" s="91">
        <v>0</v>
      </c>
      <c r="BT3" s="91">
        <v>0</v>
      </c>
      <c r="BU3" s="91">
        <v>0</v>
      </c>
      <c r="BV3" s="91">
        <v>0</v>
      </c>
      <c r="BW3" s="91">
        <v>0</v>
      </c>
      <c r="BX3" s="91">
        <v>0</v>
      </c>
      <c r="BY3" s="91">
        <v>0</v>
      </c>
      <c r="BZ3" s="91">
        <v>0</v>
      </c>
      <c r="CA3" s="91">
        <v>0</v>
      </c>
      <c r="CB3" s="91">
        <v>0</v>
      </c>
      <c r="CC3" s="91">
        <v>0</v>
      </c>
      <c r="CD3" s="91">
        <v>0</v>
      </c>
      <c r="CE3" s="91">
        <v>0</v>
      </c>
      <c r="CF3" s="91">
        <v>0</v>
      </c>
      <c r="CG3" s="91">
        <v>0</v>
      </c>
      <c r="CH3" s="58">
        <v>0</v>
      </c>
      <c r="CI3" s="58">
        <v>0</v>
      </c>
      <c r="CJ3" s="58">
        <v>0</v>
      </c>
      <c r="CK3" s="58">
        <v>0</v>
      </c>
      <c r="CL3" s="58">
        <v>0</v>
      </c>
      <c r="CM3" s="58">
        <v>0</v>
      </c>
      <c r="CN3" s="58">
        <v>0</v>
      </c>
      <c r="CO3" s="58">
        <v>0</v>
      </c>
      <c r="CP3" s="58">
        <v>0</v>
      </c>
      <c r="CQ3" s="58">
        <v>0</v>
      </c>
      <c r="CR3" s="58">
        <v>0</v>
      </c>
      <c r="CS3" s="58">
        <v>0</v>
      </c>
      <c r="CT3" s="58">
        <v>0</v>
      </c>
      <c r="CU3" s="58">
        <v>0</v>
      </c>
      <c r="CV3" s="58">
        <v>0</v>
      </c>
      <c r="CW3" s="58">
        <v>0</v>
      </c>
      <c r="CX3" s="58">
        <v>0</v>
      </c>
      <c r="CY3" s="58">
        <v>0</v>
      </c>
      <c r="CZ3" s="58">
        <v>0</v>
      </c>
      <c r="DA3" s="58">
        <v>0</v>
      </c>
      <c r="DB3" s="58">
        <v>0</v>
      </c>
      <c r="DC3" s="58">
        <v>0</v>
      </c>
      <c r="DD3" s="58">
        <v>0</v>
      </c>
      <c r="DE3" s="58">
        <v>0</v>
      </c>
      <c r="DF3" s="58">
        <v>0</v>
      </c>
      <c r="DG3" s="58">
        <v>0</v>
      </c>
      <c r="DH3" s="58">
        <v>0</v>
      </c>
      <c r="DI3" s="58">
        <v>0</v>
      </c>
      <c r="DJ3" s="58">
        <v>0</v>
      </c>
      <c r="DK3" s="58">
        <v>0</v>
      </c>
      <c r="DL3" s="58">
        <v>0</v>
      </c>
      <c r="DM3" s="58">
        <v>0</v>
      </c>
      <c r="DN3" s="58">
        <v>0</v>
      </c>
      <c r="DO3" s="58">
        <v>0</v>
      </c>
      <c r="DP3" s="58">
        <v>0</v>
      </c>
      <c r="DQ3" s="58">
        <v>0</v>
      </c>
      <c r="DR3" s="58">
        <v>0</v>
      </c>
      <c r="DS3" s="58">
        <v>0</v>
      </c>
      <c r="DT3" s="58">
        <v>0</v>
      </c>
      <c r="DU3" s="58">
        <v>0</v>
      </c>
      <c r="DV3" s="58">
        <v>0</v>
      </c>
      <c r="DW3" s="58">
        <v>0</v>
      </c>
      <c r="DX3" s="58">
        <v>0</v>
      </c>
      <c r="DY3" s="58">
        <v>1</v>
      </c>
      <c r="DZ3" s="58">
        <v>0</v>
      </c>
      <c r="EA3" s="58">
        <v>0</v>
      </c>
      <c r="EB3" s="58">
        <v>0</v>
      </c>
      <c r="EC3" s="58">
        <v>0</v>
      </c>
      <c r="ED3" s="58">
        <v>0</v>
      </c>
      <c r="EE3" s="58">
        <v>0</v>
      </c>
      <c r="EF3" s="58">
        <v>0</v>
      </c>
      <c r="EG3" s="58">
        <v>0</v>
      </c>
      <c r="EH3" s="58">
        <v>0</v>
      </c>
      <c r="EI3" s="58">
        <v>0</v>
      </c>
      <c r="EJ3" s="58">
        <v>0</v>
      </c>
      <c r="EK3" s="58">
        <v>0</v>
      </c>
      <c r="EL3" s="58">
        <v>0</v>
      </c>
      <c r="EM3" s="58">
        <v>0</v>
      </c>
      <c r="EN3" s="58">
        <v>0</v>
      </c>
      <c r="EO3" s="58">
        <v>0</v>
      </c>
      <c r="EP3" s="58">
        <v>0</v>
      </c>
      <c r="EQ3" s="58">
        <v>0</v>
      </c>
      <c r="ER3" s="58">
        <v>0</v>
      </c>
      <c r="ES3" s="58">
        <v>0</v>
      </c>
      <c r="ET3" s="58">
        <v>1</v>
      </c>
      <c r="EU3" s="58">
        <v>0</v>
      </c>
      <c r="EV3" s="58">
        <v>0</v>
      </c>
      <c r="EW3" s="58">
        <v>0</v>
      </c>
      <c r="EX3" s="58">
        <v>0</v>
      </c>
      <c r="EY3" s="58">
        <v>0</v>
      </c>
      <c r="EZ3" s="58">
        <v>0</v>
      </c>
      <c r="FA3" s="58">
        <v>0</v>
      </c>
      <c r="FB3" s="58">
        <v>0</v>
      </c>
      <c r="FC3" s="58">
        <v>0</v>
      </c>
      <c r="FD3" s="58">
        <v>0</v>
      </c>
      <c r="FE3" s="58">
        <v>0</v>
      </c>
      <c r="FF3" s="58">
        <v>0</v>
      </c>
      <c r="FG3" s="58">
        <v>0</v>
      </c>
      <c r="FH3" s="58">
        <v>0</v>
      </c>
      <c r="FI3" s="58">
        <v>0</v>
      </c>
      <c r="FJ3" s="58">
        <v>0</v>
      </c>
      <c r="FK3" s="58">
        <v>0</v>
      </c>
      <c r="FL3" s="58">
        <v>0</v>
      </c>
      <c r="FM3" s="58">
        <v>0</v>
      </c>
      <c r="FN3" s="58">
        <v>0</v>
      </c>
    </row>
    <row r="4" spans="1:170" x14ac:dyDescent="0.3">
      <c r="A4" s="61" t="s">
        <v>15</v>
      </c>
      <c r="B4" s="61">
        <v>0</v>
      </c>
      <c r="C4" s="61">
        <v>0</v>
      </c>
      <c r="D4" s="61">
        <v>4</v>
      </c>
      <c r="E4" s="61">
        <v>1</v>
      </c>
      <c r="F4" s="61">
        <v>1</v>
      </c>
      <c r="G4" s="61">
        <v>0</v>
      </c>
      <c r="H4" s="61">
        <v>2</v>
      </c>
      <c r="I4" s="105">
        <v>2</v>
      </c>
      <c r="J4" s="106">
        <v>3</v>
      </c>
      <c r="K4" s="106">
        <v>2</v>
      </c>
      <c r="L4" s="99">
        <v>1</v>
      </c>
      <c r="M4" s="99">
        <v>0</v>
      </c>
      <c r="N4" s="99">
        <v>0</v>
      </c>
      <c r="O4" s="99">
        <v>1</v>
      </c>
      <c r="P4" s="99">
        <v>0</v>
      </c>
      <c r="Q4" s="99">
        <v>0</v>
      </c>
      <c r="R4" s="99">
        <v>1</v>
      </c>
      <c r="S4" s="99">
        <v>1</v>
      </c>
      <c r="T4" s="99">
        <v>0</v>
      </c>
      <c r="U4" s="99">
        <v>1</v>
      </c>
      <c r="V4" s="99">
        <v>1</v>
      </c>
      <c r="W4" s="99">
        <v>0</v>
      </c>
      <c r="X4" s="99">
        <v>2</v>
      </c>
      <c r="Y4" s="91">
        <v>1</v>
      </c>
      <c r="Z4" s="91">
        <v>0</v>
      </c>
      <c r="AA4" s="99">
        <v>0</v>
      </c>
      <c r="AB4" s="99">
        <v>0</v>
      </c>
      <c r="AC4" s="91">
        <v>1</v>
      </c>
      <c r="AD4" s="99">
        <v>2</v>
      </c>
      <c r="AE4" s="99">
        <v>0</v>
      </c>
      <c r="AF4" s="99">
        <v>1</v>
      </c>
      <c r="AG4" s="99">
        <v>1</v>
      </c>
      <c r="AH4" s="99">
        <v>0</v>
      </c>
      <c r="AI4" s="99">
        <v>0</v>
      </c>
      <c r="AJ4" s="91">
        <v>0</v>
      </c>
      <c r="AK4" s="99">
        <v>0</v>
      </c>
      <c r="AL4" s="91">
        <v>1</v>
      </c>
      <c r="AM4" s="91">
        <v>1</v>
      </c>
      <c r="AN4" s="91">
        <v>0</v>
      </c>
      <c r="AO4" s="99">
        <v>1</v>
      </c>
      <c r="AP4" s="91">
        <v>0</v>
      </c>
      <c r="AQ4" s="91">
        <v>0</v>
      </c>
      <c r="AR4" s="91">
        <v>0</v>
      </c>
      <c r="AS4" s="91">
        <v>0</v>
      </c>
      <c r="AT4" s="91">
        <v>0</v>
      </c>
      <c r="AU4" s="91">
        <v>0</v>
      </c>
      <c r="AV4" s="99">
        <v>1</v>
      </c>
      <c r="AW4" s="91">
        <v>1</v>
      </c>
      <c r="AX4" s="91">
        <v>0</v>
      </c>
      <c r="AY4" s="91">
        <v>0</v>
      </c>
      <c r="AZ4" s="91">
        <v>0</v>
      </c>
      <c r="BA4" s="91">
        <v>1</v>
      </c>
      <c r="BB4" s="91">
        <v>0</v>
      </c>
      <c r="BC4" s="91">
        <v>1</v>
      </c>
      <c r="BD4" s="91">
        <v>0</v>
      </c>
      <c r="BE4" s="91">
        <v>0</v>
      </c>
      <c r="BF4" s="91">
        <v>0</v>
      </c>
      <c r="BG4" s="91">
        <v>0</v>
      </c>
      <c r="BH4" s="91">
        <v>0</v>
      </c>
      <c r="BI4" s="91">
        <v>0</v>
      </c>
      <c r="BJ4" s="91">
        <v>0</v>
      </c>
      <c r="BK4" s="91">
        <v>1</v>
      </c>
      <c r="BL4" s="91">
        <v>1</v>
      </c>
      <c r="BM4" s="91">
        <v>0</v>
      </c>
      <c r="BN4" s="91">
        <v>0</v>
      </c>
      <c r="BO4" s="91">
        <v>1</v>
      </c>
      <c r="BP4" s="91">
        <v>1</v>
      </c>
      <c r="BQ4" s="91">
        <v>0</v>
      </c>
      <c r="BR4" s="91">
        <v>0</v>
      </c>
      <c r="BS4" s="91">
        <v>1</v>
      </c>
      <c r="BT4" s="91">
        <v>0</v>
      </c>
      <c r="BU4" s="91">
        <v>1</v>
      </c>
      <c r="BV4" s="91">
        <v>0</v>
      </c>
      <c r="BW4" s="91">
        <v>0</v>
      </c>
      <c r="BX4" s="91">
        <v>0</v>
      </c>
      <c r="BY4" s="91">
        <v>2</v>
      </c>
      <c r="BZ4" s="91">
        <v>1</v>
      </c>
      <c r="CA4" s="91">
        <v>0</v>
      </c>
      <c r="CB4" s="91">
        <v>0</v>
      </c>
      <c r="CC4" s="91">
        <v>0</v>
      </c>
      <c r="CD4" s="91">
        <v>2</v>
      </c>
      <c r="CE4" s="91">
        <v>0</v>
      </c>
      <c r="CF4" s="91">
        <v>0</v>
      </c>
      <c r="CG4" s="91">
        <v>1</v>
      </c>
      <c r="CH4" s="58">
        <v>0</v>
      </c>
      <c r="CI4" s="58">
        <v>0</v>
      </c>
      <c r="CJ4" s="58">
        <v>1</v>
      </c>
      <c r="CK4" s="58">
        <v>0</v>
      </c>
      <c r="CL4" s="58">
        <v>0</v>
      </c>
      <c r="CM4" s="58">
        <v>0</v>
      </c>
      <c r="CN4" s="58">
        <v>0</v>
      </c>
      <c r="CO4" s="58">
        <v>0</v>
      </c>
      <c r="CP4" s="58">
        <v>0</v>
      </c>
      <c r="CQ4" s="58">
        <v>0</v>
      </c>
      <c r="CR4" s="58">
        <v>1</v>
      </c>
      <c r="CS4" s="58">
        <v>2</v>
      </c>
      <c r="CT4" s="58">
        <v>2</v>
      </c>
      <c r="CU4" s="58">
        <v>0</v>
      </c>
      <c r="CV4" s="58">
        <v>0</v>
      </c>
      <c r="CW4" s="58">
        <v>1</v>
      </c>
      <c r="CX4" s="58">
        <v>0</v>
      </c>
      <c r="CY4" s="58">
        <v>0</v>
      </c>
      <c r="CZ4" s="58">
        <v>0</v>
      </c>
      <c r="DA4" s="58">
        <v>0</v>
      </c>
      <c r="DB4" s="58">
        <v>1</v>
      </c>
      <c r="DC4" s="58">
        <v>0</v>
      </c>
      <c r="DD4" s="58">
        <v>0</v>
      </c>
      <c r="DE4" s="58">
        <v>0</v>
      </c>
      <c r="DF4" s="58">
        <v>0</v>
      </c>
      <c r="DG4" s="58">
        <v>1</v>
      </c>
      <c r="DH4" s="58">
        <v>0</v>
      </c>
      <c r="DI4" s="58">
        <v>0</v>
      </c>
      <c r="DJ4" s="58">
        <v>0</v>
      </c>
      <c r="DK4" s="58">
        <v>0</v>
      </c>
      <c r="DL4" s="58">
        <v>0</v>
      </c>
      <c r="DM4" s="58">
        <v>0</v>
      </c>
      <c r="DN4" s="58">
        <v>0</v>
      </c>
      <c r="DO4" s="58">
        <v>0</v>
      </c>
      <c r="DP4" s="58">
        <v>0</v>
      </c>
      <c r="DQ4" s="58">
        <v>0</v>
      </c>
      <c r="DR4" s="58">
        <v>0</v>
      </c>
      <c r="DS4" s="58">
        <v>1</v>
      </c>
      <c r="DT4" s="58">
        <v>0</v>
      </c>
      <c r="DU4" s="58">
        <v>1</v>
      </c>
      <c r="DV4" s="58">
        <v>0</v>
      </c>
      <c r="DW4" s="58">
        <v>0</v>
      </c>
      <c r="DX4" s="58">
        <v>1</v>
      </c>
      <c r="DY4" s="58">
        <v>2</v>
      </c>
      <c r="DZ4" s="58">
        <v>3</v>
      </c>
      <c r="EA4" s="58">
        <v>0</v>
      </c>
      <c r="EB4" s="58">
        <v>1</v>
      </c>
      <c r="EC4" s="58">
        <v>1</v>
      </c>
      <c r="ED4" s="58">
        <v>0</v>
      </c>
      <c r="EE4" s="58">
        <v>0</v>
      </c>
      <c r="EF4" s="58">
        <v>0</v>
      </c>
      <c r="EG4" s="58">
        <v>1</v>
      </c>
      <c r="EH4" s="58">
        <v>1</v>
      </c>
      <c r="EI4" s="58">
        <v>0</v>
      </c>
      <c r="EJ4" s="58">
        <v>0</v>
      </c>
      <c r="EK4" s="58">
        <v>0</v>
      </c>
      <c r="EL4" s="58">
        <v>0</v>
      </c>
      <c r="EM4" s="58">
        <v>0</v>
      </c>
      <c r="EN4" s="58">
        <v>0</v>
      </c>
      <c r="EO4" s="58">
        <v>0</v>
      </c>
      <c r="EP4" s="58">
        <v>0</v>
      </c>
      <c r="EQ4" s="58">
        <v>0</v>
      </c>
      <c r="ER4" s="58">
        <v>1</v>
      </c>
      <c r="ES4" s="58">
        <v>0</v>
      </c>
      <c r="ET4" s="58">
        <v>0</v>
      </c>
      <c r="EU4" s="58">
        <v>1</v>
      </c>
      <c r="EV4" s="58">
        <v>1</v>
      </c>
      <c r="EW4" s="58">
        <v>0</v>
      </c>
      <c r="EX4" s="58">
        <v>0</v>
      </c>
      <c r="EY4" s="58">
        <v>0</v>
      </c>
      <c r="EZ4" s="58">
        <v>0</v>
      </c>
      <c r="FA4" s="58">
        <v>0</v>
      </c>
      <c r="FB4" s="58">
        <v>0</v>
      </c>
      <c r="FC4" s="58">
        <v>0</v>
      </c>
      <c r="FD4" s="58">
        <v>0</v>
      </c>
      <c r="FE4" s="58">
        <v>0</v>
      </c>
      <c r="FF4" s="58">
        <v>0</v>
      </c>
      <c r="FG4" s="58">
        <v>0</v>
      </c>
      <c r="FH4" s="58">
        <v>1</v>
      </c>
      <c r="FI4" s="58">
        <v>0</v>
      </c>
      <c r="FJ4" s="58">
        <v>0</v>
      </c>
      <c r="FK4" s="58">
        <v>0</v>
      </c>
      <c r="FL4" s="58">
        <v>1</v>
      </c>
      <c r="FM4" s="58">
        <v>3</v>
      </c>
      <c r="FN4" s="58">
        <v>1</v>
      </c>
    </row>
    <row r="5" spans="1:170" x14ac:dyDescent="0.3">
      <c r="A5" s="61" t="s">
        <v>17</v>
      </c>
      <c r="B5" s="61">
        <v>42</v>
      </c>
      <c r="C5" s="61">
        <v>56</v>
      </c>
      <c r="D5" s="61">
        <v>81</v>
      </c>
      <c r="E5" s="61">
        <v>72</v>
      </c>
      <c r="F5" s="61">
        <v>79</v>
      </c>
      <c r="G5" s="61">
        <v>92</v>
      </c>
      <c r="H5" s="61">
        <v>96</v>
      </c>
      <c r="I5" s="100">
        <v>83</v>
      </c>
      <c r="J5" s="91">
        <v>126</v>
      </c>
      <c r="K5" s="91">
        <v>97</v>
      </c>
      <c r="L5" s="91">
        <v>127</v>
      </c>
      <c r="M5" s="99">
        <v>129</v>
      </c>
      <c r="N5" s="99">
        <v>105</v>
      </c>
      <c r="O5" s="91">
        <v>55</v>
      </c>
      <c r="P5" s="91">
        <v>43</v>
      </c>
      <c r="Q5" s="91">
        <v>49</v>
      </c>
      <c r="R5" s="91">
        <v>69</v>
      </c>
      <c r="S5" s="91">
        <v>90</v>
      </c>
      <c r="T5" s="91">
        <v>42</v>
      </c>
      <c r="U5" s="91">
        <v>56</v>
      </c>
      <c r="V5" s="91">
        <v>71</v>
      </c>
      <c r="W5" s="91">
        <v>78</v>
      </c>
      <c r="X5" s="91">
        <v>161</v>
      </c>
      <c r="Y5" s="91">
        <v>95</v>
      </c>
      <c r="Z5" s="91">
        <v>101</v>
      </c>
      <c r="AA5" s="91">
        <v>113</v>
      </c>
      <c r="AB5" s="91">
        <v>141</v>
      </c>
      <c r="AC5" s="91">
        <v>186</v>
      </c>
      <c r="AD5" s="99">
        <v>281</v>
      </c>
      <c r="AE5" s="91">
        <v>114</v>
      </c>
      <c r="AF5" s="91">
        <v>147</v>
      </c>
      <c r="AG5" s="91">
        <v>103</v>
      </c>
      <c r="AH5" s="99">
        <v>64</v>
      </c>
      <c r="AI5" s="99">
        <v>111</v>
      </c>
      <c r="AJ5" s="91">
        <v>137</v>
      </c>
      <c r="AK5" s="99">
        <v>70</v>
      </c>
      <c r="AL5" s="91">
        <v>72</v>
      </c>
      <c r="AM5" s="91">
        <v>71</v>
      </c>
      <c r="AN5" s="91">
        <v>81</v>
      </c>
      <c r="AO5" s="99">
        <v>203</v>
      </c>
      <c r="AP5" s="99">
        <v>208</v>
      </c>
      <c r="AQ5" s="99">
        <v>188</v>
      </c>
      <c r="AR5" s="99">
        <v>121</v>
      </c>
      <c r="AS5" s="58">
        <v>114</v>
      </c>
      <c r="AT5" s="58">
        <v>105</v>
      </c>
      <c r="AU5" s="91">
        <v>120</v>
      </c>
      <c r="AV5" s="99">
        <v>139</v>
      </c>
      <c r="AW5" s="91">
        <v>164</v>
      </c>
      <c r="AX5" s="58">
        <v>162</v>
      </c>
      <c r="AY5" s="99">
        <v>195</v>
      </c>
      <c r="AZ5" s="99">
        <v>189</v>
      </c>
      <c r="BA5" s="91">
        <v>192</v>
      </c>
      <c r="BB5" s="91">
        <v>316</v>
      </c>
      <c r="BC5" s="91">
        <v>170</v>
      </c>
      <c r="BD5" s="91">
        <v>115</v>
      </c>
      <c r="BE5" s="91">
        <v>117</v>
      </c>
      <c r="BF5" s="91">
        <v>150</v>
      </c>
      <c r="BG5" s="91">
        <v>118</v>
      </c>
      <c r="BH5" s="91">
        <v>180</v>
      </c>
      <c r="BI5" s="91">
        <v>74</v>
      </c>
      <c r="BJ5" s="91">
        <v>124</v>
      </c>
      <c r="BK5" s="91">
        <v>153</v>
      </c>
      <c r="BL5" s="91">
        <v>153</v>
      </c>
      <c r="BM5" s="91">
        <v>126</v>
      </c>
      <c r="BN5" s="91">
        <v>160</v>
      </c>
      <c r="BO5" s="91">
        <v>197</v>
      </c>
      <c r="BP5" s="91">
        <v>238</v>
      </c>
      <c r="BQ5" s="91">
        <v>152</v>
      </c>
      <c r="BR5" s="91">
        <v>147</v>
      </c>
      <c r="BS5" s="91">
        <v>244</v>
      </c>
      <c r="BT5" s="91">
        <v>139</v>
      </c>
      <c r="BU5" s="91">
        <v>178</v>
      </c>
      <c r="BV5" s="91">
        <v>183</v>
      </c>
      <c r="BW5" s="91">
        <v>197</v>
      </c>
      <c r="BX5" s="91">
        <v>174</v>
      </c>
      <c r="BY5" s="91">
        <v>135</v>
      </c>
      <c r="BZ5" s="91">
        <v>190</v>
      </c>
      <c r="CA5" s="91">
        <v>239</v>
      </c>
      <c r="CB5" s="91">
        <v>172</v>
      </c>
      <c r="CC5" s="91">
        <v>232</v>
      </c>
      <c r="CD5" s="91">
        <v>151</v>
      </c>
      <c r="CE5" s="91">
        <v>241</v>
      </c>
      <c r="CF5" s="91">
        <v>227</v>
      </c>
      <c r="CG5" s="91">
        <v>233</v>
      </c>
      <c r="CH5" s="58">
        <v>149</v>
      </c>
      <c r="CI5" s="58">
        <v>186</v>
      </c>
      <c r="CJ5" s="58">
        <v>352</v>
      </c>
      <c r="CK5" s="58">
        <v>284</v>
      </c>
      <c r="CL5" s="58">
        <v>249</v>
      </c>
      <c r="CM5" s="58">
        <v>234</v>
      </c>
      <c r="CN5" s="58">
        <v>223</v>
      </c>
      <c r="CO5" s="58">
        <v>197</v>
      </c>
      <c r="CP5" s="58">
        <v>229</v>
      </c>
      <c r="CQ5" s="58">
        <v>382</v>
      </c>
      <c r="CR5" s="58">
        <v>408</v>
      </c>
      <c r="CS5" s="58">
        <v>282</v>
      </c>
      <c r="CT5" s="58">
        <v>345</v>
      </c>
      <c r="CU5" s="58">
        <v>191</v>
      </c>
      <c r="CV5" s="58">
        <v>172</v>
      </c>
      <c r="CW5" s="58">
        <v>209</v>
      </c>
      <c r="CX5" s="58">
        <v>245</v>
      </c>
      <c r="CY5" s="58">
        <v>257</v>
      </c>
      <c r="CZ5" s="58">
        <v>116</v>
      </c>
      <c r="DA5" s="58">
        <v>212</v>
      </c>
      <c r="DB5" s="58">
        <v>217</v>
      </c>
      <c r="DC5" s="58">
        <v>202</v>
      </c>
      <c r="DD5" s="58">
        <v>316</v>
      </c>
      <c r="DE5" s="58">
        <v>158</v>
      </c>
      <c r="DF5" s="58">
        <v>209</v>
      </c>
      <c r="DG5" s="58">
        <v>194</v>
      </c>
      <c r="DH5" s="58">
        <v>327</v>
      </c>
      <c r="DI5" s="58">
        <v>142</v>
      </c>
      <c r="DJ5" s="58">
        <v>243</v>
      </c>
      <c r="DK5" s="58">
        <v>163</v>
      </c>
      <c r="DL5" s="58">
        <v>190</v>
      </c>
      <c r="DM5" s="58">
        <v>150</v>
      </c>
      <c r="DN5" s="58">
        <v>135</v>
      </c>
      <c r="DO5" s="58">
        <v>197</v>
      </c>
      <c r="DP5" s="58">
        <v>423</v>
      </c>
      <c r="DQ5" s="58">
        <v>191</v>
      </c>
      <c r="DR5" s="58">
        <v>569</v>
      </c>
      <c r="DS5" s="58">
        <v>142</v>
      </c>
      <c r="DT5" s="58">
        <v>230</v>
      </c>
      <c r="DU5" s="58">
        <v>180</v>
      </c>
      <c r="DV5" s="58">
        <v>195</v>
      </c>
      <c r="DW5" s="58">
        <v>164</v>
      </c>
      <c r="DX5" s="58">
        <v>233</v>
      </c>
      <c r="DY5" s="58">
        <v>5527</v>
      </c>
      <c r="DZ5" s="58">
        <v>183</v>
      </c>
      <c r="EA5" s="58">
        <v>175</v>
      </c>
      <c r="EB5" s="58">
        <v>261</v>
      </c>
      <c r="EC5" s="58">
        <v>236</v>
      </c>
      <c r="ED5" s="58">
        <v>2839</v>
      </c>
      <c r="EE5" s="58">
        <v>197</v>
      </c>
      <c r="EF5" s="58">
        <v>237</v>
      </c>
      <c r="EG5" s="58">
        <v>229</v>
      </c>
      <c r="EH5" s="58">
        <v>235</v>
      </c>
      <c r="EI5" s="58">
        <v>152</v>
      </c>
      <c r="EJ5" s="58">
        <v>147</v>
      </c>
      <c r="EK5" s="58">
        <v>322</v>
      </c>
      <c r="EL5" s="58">
        <v>156</v>
      </c>
      <c r="EM5" s="58">
        <v>149</v>
      </c>
      <c r="EN5" s="58">
        <v>101</v>
      </c>
      <c r="EO5" s="58">
        <v>212</v>
      </c>
      <c r="EP5" s="58">
        <v>290</v>
      </c>
      <c r="EQ5" s="58">
        <v>345</v>
      </c>
      <c r="ER5" s="58">
        <v>371</v>
      </c>
      <c r="ES5" s="58">
        <v>550</v>
      </c>
      <c r="ET5" s="58">
        <v>721</v>
      </c>
      <c r="EU5" s="58">
        <v>771</v>
      </c>
      <c r="EV5" s="58">
        <v>328</v>
      </c>
      <c r="EW5" s="58">
        <v>567</v>
      </c>
      <c r="EX5" s="58">
        <v>682</v>
      </c>
      <c r="EY5" s="58">
        <v>511</v>
      </c>
      <c r="EZ5" s="58">
        <v>368</v>
      </c>
      <c r="FA5" s="58">
        <v>535</v>
      </c>
      <c r="FB5" s="58">
        <v>720</v>
      </c>
      <c r="FC5" s="58">
        <v>896</v>
      </c>
      <c r="FD5" s="58">
        <v>729</v>
      </c>
      <c r="FE5" s="58">
        <v>401</v>
      </c>
      <c r="FF5" s="58">
        <v>649</v>
      </c>
      <c r="FG5" s="58">
        <v>850</v>
      </c>
      <c r="FH5" s="58">
        <v>702</v>
      </c>
      <c r="FI5" s="58">
        <v>680</v>
      </c>
      <c r="FJ5" s="58">
        <v>585</v>
      </c>
      <c r="FK5" s="58">
        <v>827</v>
      </c>
      <c r="FL5" s="58">
        <v>375</v>
      </c>
      <c r="FM5" s="58">
        <v>640</v>
      </c>
      <c r="FN5" s="58">
        <v>196</v>
      </c>
    </row>
    <row r="6" spans="1:170" x14ac:dyDescent="0.3">
      <c r="A6" s="61" t="s">
        <v>19</v>
      </c>
      <c r="B6" s="61">
        <v>9</v>
      </c>
      <c r="C6" s="61">
        <v>14</v>
      </c>
      <c r="D6" s="61">
        <v>42</v>
      </c>
      <c r="E6" s="61">
        <v>18</v>
      </c>
      <c r="F6" s="61">
        <v>27</v>
      </c>
      <c r="G6" s="61">
        <v>23</v>
      </c>
      <c r="H6" s="61">
        <v>23</v>
      </c>
      <c r="I6" s="100">
        <v>20</v>
      </c>
      <c r="J6" s="91">
        <v>8</v>
      </c>
      <c r="K6" s="91">
        <v>6</v>
      </c>
      <c r="L6" s="91">
        <v>8</v>
      </c>
      <c r="M6" s="99">
        <v>7</v>
      </c>
      <c r="N6" s="99">
        <v>5</v>
      </c>
      <c r="O6" s="91">
        <v>6</v>
      </c>
      <c r="P6" s="91">
        <v>5</v>
      </c>
      <c r="Q6" s="91">
        <v>4</v>
      </c>
      <c r="R6" s="91">
        <v>16</v>
      </c>
      <c r="S6" s="91">
        <v>14</v>
      </c>
      <c r="T6" s="91">
        <v>5</v>
      </c>
      <c r="U6" s="91">
        <v>11</v>
      </c>
      <c r="V6" s="91">
        <v>8</v>
      </c>
      <c r="W6" s="91">
        <v>5</v>
      </c>
      <c r="X6" s="91">
        <v>5</v>
      </c>
      <c r="Y6" s="91">
        <v>2</v>
      </c>
      <c r="Z6" s="91">
        <v>8</v>
      </c>
      <c r="AA6" s="91">
        <v>39</v>
      </c>
      <c r="AB6" s="91">
        <v>33</v>
      </c>
      <c r="AC6" s="91">
        <v>61</v>
      </c>
      <c r="AD6" s="99">
        <v>39</v>
      </c>
      <c r="AE6" s="91">
        <v>41</v>
      </c>
      <c r="AF6" s="91">
        <v>70</v>
      </c>
      <c r="AG6" s="91">
        <v>93</v>
      </c>
      <c r="AH6" s="99">
        <v>50</v>
      </c>
      <c r="AI6" s="99">
        <v>53</v>
      </c>
      <c r="AJ6" s="91">
        <v>55</v>
      </c>
      <c r="AK6" s="99">
        <v>62</v>
      </c>
      <c r="AL6" s="91">
        <v>44</v>
      </c>
      <c r="AM6" s="91">
        <v>90</v>
      </c>
      <c r="AN6" s="91">
        <v>75</v>
      </c>
      <c r="AO6" s="99">
        <v>93</v>
      </c>
      <c r="AP6" s="99">
        <v>97</v>
      </c>
      <c r="AQ6" s="99">
        <v>57</v>
      </c>
      <c r="AR6" s="99">
        <v>59</v>
      </c>
      <c r="AS6" s="58">
        <v>49</v>
      </c>
      <c r="AT6" s="58">
        <v>24</v>
      </c>
      <c r="AU6" s="91">
        <v>32</v>
      </c>
      <c r="AV6" s="99">
        <v>28</v>
      </c>
      <c r="AW6" s="91">
        <v>33</v>
      </c>
      <c r="AX6" s="58">
        <v>22</v>
      </c>
      <c r="AY6" s="99">
        <v>79</v>
      </c>
      <c r="AZ6" s="99">
        <v>31</v>
      </c>
      <c r="BA6" s="91">
        <v>29</v>
      </c>
      <c r="BB6" s="91">
        <v>51</v>
      </c>
      <c r="BC6" s="91">
        <v>32</v>
      </c>
      <c r="BD6" s="91">
        <v>30</v>
      </c>
      <c r="BE6" s="91">
        <v>37</v>
      </c>
      <c r="BF6" s="91">
        <v>31</v>
      </c>
      <c r="BG6" s="91">
        <v>19</v>
      </c>
      <c r="BH6" s="91">
        <v>14</v>
      </c>
      <c r="BI6" s="91">
        <v>24</v>
      </c>
      <c r="BJ6" s="91">
        <v>21</v>
      </c>
      <c r="BK6" s="91">
        <v>27</v>
      </c>
      <c r="BL6" s="91">
        <v>34</v>
      </c>
      <c r="BM6" s="91">
        <v>23</v>
      </c>
      <c r="BN6" s="91">
        <v>20</v>
      </c>
      <c r="BO6" s="91">
        <v>23</v>
      </c>
      <c r="BP6" s="91">
        <v>64</v>
      </c>
      <c r="BQ6" s="91">
        <v>29</v>
      </c>
      <c r="BR6" s="91">
        <v>35</v>
      </c>
      <c r="BS6" s="91">
        <v>47</v>
      </c>
      <c r="BT6" s="91">
        <v>41</v>
      </c>
      <c r="BU6" s="91">
        <v>29</v>
      </c>
      <c r="BV6" s="91">
        <v>38</v>
      </c>
      <c r="BW6" s="91">
        <v>12</v>
      </c>
      <c r="BX6" s="91">
        <v>22</v>
      </c>
      <c r="BY6" s="91">
        <v>8</v>
      </c>
      <c r="BZ6" s="91">
        <v>17</v>
      </c>
      <c r="CA6" s="91">
        <v>13</v>
      </c>
      <c r="CB6" s="91">
        <v>16</v>
      </c>
      <c r="CC6" s="91">
        <v>11</v>
      </c>
      <c r="CD6" s="91">
        <v>19</v>
      </c>
      <c r="CE6" s="91">
        <v>17</v>
      </c>
      <c r="CF6" s="91">
        <v>20</v>
      </c>
      <c r="CG6" s="91">
        <v>20</v>
      </c>
      <c r="CH6" s="58">
        <v>9</v>
      </c>
      <c r="CI6" s="58">
        <v>22</v>
      </c>
      <c r="CJ6" s="58">
        <v>28</v>
      </c>
      <c r="CK6" s="58">
        <v>18</v>
      </c>
      <c r="CL6" s="58">
        <v>13</v>
      </c>
      <c r="CM6" s="58">
        <v>15</v>
      </c>
      <c r="CN6" s="58">
        <v>12</v>
      </c>
      <c r="CO6" s="58">
        <v>25</v>
      </c>
      <c r="CP6" s="58">
        <v>17</v>
      </c>
      <c r="CQ6" s="58">
        <v>16</v>
      </c>
      <c r="CR6" s="58">
        <v>19</v>
      </c>
      <c r="CS6" s="58">
        <v>20</v>
      </c>
      <c r="CT6" s="58">
        <v>15</v>
      </c>
      <c r="CU6" s="58">
        <v>28</v>
      </c>
      <c r="CV6" s="58">
        <v>9</v>
      </c>
      <c r="CW6" s="58">
        <v>12</v>
      </c>
      <c r="CX6" s="58">
        <v>11</v>
      </c>
      <c r="CY6" s="58">
        <v>33</v>
      </c>
      <c r="CZ6" s="58">
        <v>24</v>
      </c>
      <c r="DA6" s="58">
        <v>25</v>
      </c>
      <c r="DB6" s="58">
        <v>20</v>
      </c>
      <c r="DC6" s="58">
        <v>27</v>
      </c>
      <c r="DD6" s="58">
        <v>16</v>
      </c>
      <c r="DE6" s="58">
        <v>25</v>
      </c>
      <c r="DF6" s="58">
        <v>25</v>
      </c>
      <c r="DG6" s="58">
        <v>27</v>
      </c>
      <c r="DH6" s="58">
        <v>35</v>
      </c>
      <c r="DI6" s="58">
        <v>21</v>
      </c>
      <c r="DJ6" s="58">
        <v>29</v>
      </c>
      <c r="DK6" s="58">
        <v>23</v>
      </c>
      <c r="DL6" s="58">
        <v>33</v>
      </c>
      <c r="DM6" s="58">
        <v>19</v>
      </c>
      <c r="DN6" s="58">
        <v>16</v>
      </c>
      <c r="DO6" s="58">
        <v>18</v>
      </c>
      <c r="DP6" s="58">
        <v>21</v>
      </c>
      <c r="DQ6" s="58">
        <v>14</v>
      </c>
      <c r="DR6" s="58">
        <v>26</v>
      </c>
      <c r="DS6" s="58">
        <v>13</v>
      </c>
      <c r="DT6" s="58">
        <v>13</v>
      </c>
      <c r="DU6" s="58">
        <v>28</v>
      </c>
      <c r="DV6" s="58">
        <v>28</v>
      </c>
      <c r="DW6" s="58">
        <v>18</v>
      </c>
      <c r="DX6" s="58">
        <v>15</v>
      </c>
      <c r="DY6" s="58">
        <v>21</v>
      </c>
      <c r="DZ6" s="58">
        <v>14</v>
      </c>
      <c r="EA6" s="58">
        <v>14</v>
      </c>
      <c r="EB6" s="58">
        <v>27</v>
      </c>
      <c r="EC6" s="58">
        <v>24</v>
      </c>
      <c r="ED6" s="58">
        <v>21</v>
      </c>
      <c r="EE6" s="58">
        <v>12</v>
      </c>
      <c r="EF6" s="58">
        <v>12</v>
      </c>
      <c r="EG6" s="58">
        <v>14</v>
      </c>
      <c r="EH6" s="58">
        <v>11</v>
      </c>
      <c r="EI6" s="58">
        <v>32</v>
      </c>
      <c r="EJ6" s="58">
        <v>19</v>
      </c>
      <c r="EK6" s="58">
        <v>80</v>
      </c>
      <c r="EL6" s="58">
        <v>224</v>
      </c>
      <c r="EM6" s="58">
        <v>83</v>
      </c>
      <c r="EN6" s="58">
        <v>47</v>
      </c>
      <c r="EO6" s="58">
        <v>177</v>
      </c>
      <c r="EP6" s="58">
        <v>129</v>
      </c>
      <c r="EQ6" s="58">
        <v>217</v>
      </c>
      <c r="ER6" s="58">
        <v>628</v>
      </c>
      <c r="ES6" s="58">
        <v>630</v>
      </c>
      <c r="ET6" s="58">
        <v>582</v>
      </c>
      <c r="EU6" s="58">
        <v>780</v>
      </c>
      <c r="EV6" s="58">
        <v>324</v>
      </c>
      <c r="EW6" s="58">
        <v>435</v>
      </c>
      <c r="EX6" s="58">
        <v>419</v>
      </c>
      <c r="EY6" s="58">
        <v>358</v>
      </c>
      <c r="EZ6" s="58">
        <v>184</v>
      </c>
      <c r="FA6" s="58">
        <v>185</v>
      </c>
      <c r="FB6" s="58">
        <v>271</v>
      </c>
      <c r="FC6" s="58">
        <v>454</v>
      </c>
      <c r="FD6" s="58">
        <v>412</v>
      </c>
      <c r="FE6" s="58">
        <v>316</v>
      </c>
      <c r="FF6" s="58">
        <v>614</v>
      </c>
      <c r="FG6" s="58">
        <v>567</v>
      </c>
      <c r="FH6" s="58">
        <v>502</v>
      </c>
      <c r="FI6" s="58">
        <v>357</v>
      </c>
      <c r="FJ6" s="58">
        <v>564</v>
      </c>
      <c r="FK6" s="58">
        <v>580</v>
      </c>
      <c r="FL6" s="58">
        <v>1063</v>
      </c>
      <c r="FM6" s="58">
        <v>456</v>
      </c>
      <c r="FN6" s="58">
        <v>460</v>
      </c>
    </row>
    <row r="7" spans="1:170" x14ac:dyDescent="0.3">
      <c r="A7" s="60" t="s">
        <v>98</v>
      </c>
      <c r="B7" s="60">
        <f>SUM(B3:B6)</f>
        <v>51</v>
      </c>
      <c r="C7" s="60">
        <f t="shared" ref="C7:BD7" si="0">SUM(C3:C6)</f>
        <v>70</v>
      </c>
      <c r="D7" s="60">
        <f t="shared" si="0"/>
        <v>127</v>
      </c>
      <c r="E7" s="60">
        <f t="shared" si="0"/>
        <v>91</v>
      </c>
      <c r="F7" s="60">
        <f t="shared" si="0"/>
        <v>107</v>
      </c>
      <c r="G7" s="60">
        <f t="shared" si="0"/>
        <v>115</v>
      </c>
      <c r="H7" s="60">
        <f t="shared" si="0"/>
        <v>121</v>
      </c>
      <c r="I7" s="60">
        <f t="shared" si="0"/>
        <v>105</v>
      </c>
      <c r="J7" s="60">
        <f t="shared" si="0"/>
        <v>137</v>
      </c>
      <c r="K7" s="60">
        <f t="shared" si="0"/>
        <v>105</v>
      </c>
      <c r="L7" s="60">
        <f t="shared" si="0"/>
        <v>136</v>
      </c>
      <c r="M7" s="60">
        <f t="shared" si="0"/>
        <v>137</v>
      </c>
      <c r="N7" s="60">
        <f t="shared" si="0"/>
        <v>110</v>
      </c>
      <c r="O7" s="60">
        <f t="shared" si="0"/>
        <v>62</v>
      </c>
      <c r="P7" s="60">
        <f t="shared" si="0"/>
        <v>49</v>
      </c>
      <c r="Q7" s="60">
        <f t="shared" si="0"/>
        <v>53</v>
      </c>
      <c r="R7" s="60">
        <f t="shared" si="0"/>
        <v>86</v>
      </c>
      <c r="S7" s="60">
        <f t="shared" si="0"/>
        <v>105</v>
      </c>
      <c r="T7" s="60">
        <f t="shared" si="0"/>
        <v>47</v>
      </c>
      <c r="U7" s="60">
        <f t="shared" si="0"/>
        <v>68</v>
      </c>
      <c r="V7" s="60">
        <f t="shared" si="0"/>
        <v>81</v>
      </c>
      <c r="W7" s="60">
        <f t="shared" si="0"/>
        <v>83</v>
      </c>
      <c r="X7" s="60">
        <f t="shared" si="0"/>
        <v>169</v>
      </c>
      <c r="Y7" s="60">
        <f t="shared" si="0"/>
        <v>99</v>
      </c>
      <c r="Z7" s="97">
        <f t="shared" si="0"/>
        <v>109</v>
      </c>
      <c r="AA7" s="60">
        <f t="shared" si="0"/>
        <v>152</v>
      </c>
      <c r="AB7" s="60">
        <f t="shared" si="0"/>
        <v>174</v>
      </c>
      <c r="AC7" s="60">
        <f t="shared" si="0"/>
        <v>248</v>
      </c>
      <c r="AD7" s="60">
        <f t="shared" si="0"/>
        <v>322</v>
      </c>
      <c r="AE7" s="60">
        <f t="shared" si="0"/>
        <v>155</v>
      </c>
      <c r="AF7" s="60">
        <f t="shared" si="0"/>
        <v>219</v>
      </c>
      <c r="AG7" s="60">
        <f t="shared" si="0"/>
        <v>197</v>
      </c>
      <c r="AH7" s="60">
        <f t="shared" si="0"/>
        <v>114</v>
      </c>
      <c r="AI7" s="60">
        <f t="shared" si="0"/>
        <v>164</v>
      </c>
      <c r="AJ7" s="60">
        <f t="shared" si="0"/>
        <v>192</v>
      </c>
      <c r="AK7" s="60">
        <f t="shared" si="0"/>
        <v>132</v>
      </c>
      <c r="AL7" s="60">
        <f t="shared" si="0"/>
        <v>117</v>
      </c>
      <c r="AM7" s="60">
        <f t="shared" si="0"/>
        <v>162</v>
      </c>
      <c r="AN7" s="60">
        <f t="shared" si="0"/>
        <v>156</v>
      </c>
      <c r="AO7" s="60">
        <f t="shared" si="0"/>
        <v>297</v>
      </c>
      <c r="AP7" s="60">
        <f t="shared" si="0"/>
        <v>305</v>
      </c>
      <c r="AQ7" s="60">
        <f t="shared" si="0"/>
        <v>245</v>
      </c>
      <c r="AR7" s="60">
        <f t="shared" si="0"/>
        <v>180</v>
      </c>
      <c r="AS7" s="60">
        <f t="shared" si="0"/>
        <v>163</v>
      </c>
      <c r="AT7" s="60">
        <f t="shared" si="0"/>
        <v>129</v>
      </c>
      <c r="AU7" s="60">
        <f t="shared" si="0"/>
        <v>152</v>
      </c>
      <c r="AV7" s="60">
        <f t="shared" si="0"/>
        <v>168</v>
      </c>
      <c r="AW7" s="60">
        <f t="shared" si="0"/>
        <v>198</v>
      </c>
      <c r="AX7" s="60">
        <f t="shared" si="0"/>
        <v>184</v>
      </c>
      <c r="AY7" s="60">
        <f t="shared" si="0"/>
        <v>274</v>
      </c>
      <c r="AZ7" s="60">
        <f t="shared" si="0"/>
        <v>220</v>
      </c>
      <c r="BA7" s="60">
        <f t="shared" si="0"/>
        <v>222</v>
      </c>
      <c r="BB7" s="60">
        <f t="shared" si="0"/>
        <v>367</v>
      </c>
      <c r="BC7" s="60">
        <f t="shared" si="0"/>
        <v>203</v>
      </c>
      <c r="BD7" s="60">
        <f t="shared" si="0"/>
        <v>145</v>
      </c>
      <c r="BE7" s="97">
        <v>154</v>
      </c>
      <c r="BF7" s="97">
        <v>181</v>
      </c>
      <c r="BG7" s="97">
        <v>137</v>
      </c>
      <c r="BH7" s="97">
        <v>194</v>
      </c>
      <c r="BI7" s="97">
        <v>98</v>
      </c>
      <c r="BJ7" s="97">
        <v>145</v>
      </c>
      <c r="BK7" s="97">
        <v>181</v>
      </c>
      <c r="BL7" s="97">
        <v>188</v>
      </c>
      <c r="BM7" s="97">
        <f>SUM(BM3:BM6)</f>
        <v>149</v>
      </c>
      <c r="BN7" s="97">
        <f>SUM(BN3:BN6)</f>
        <v>180</v>
      </c>
      <c r="BO7" s="97">
        <v>221</v>
      </c>
      <c r="BP7" s="97">
        <v>303</v>
      </c>
      <c r="BQ7" s="97">
        <v>181</v>
      </c>
      <c r="BR7" s="101">
        <f>SUM(BR3:BR6)</f>
        <v>182</v>
      </c>
      <c r="BS7" s="97">
        <v>292</v>
      </c>
      <c r="BT7" s="97">
        <v>180</v>
      </c>
      <c r="BU7" s="97">
        <v>208</v>
      </c>
      <c r="BV7" s="97">
        <v>221</v>
      </c>
      <c r="BW7" s="97">
        <v>209</v>
      </c>
      <c r="BX7" s="97">
        <v>196</v>
      </c>
      <c r="BY7" s="97">
        <v>145</v>
      </c>
      <c r="BZ7" s="97">
        <v>208</v>
      </c>
      <c r="CA7" s="97">
        <v>252</v>
      </c>
      <c r="CB7" s="97">
        <v>188</v>
      </c>
      <c r="CC7" s="97">
        <v>243</v>
      </c>
      <c r="CD7" s="97">
        <v>172</v>
      </c>
      <c r="CE7" s="97">
        <v>258</v>
      </c>
      <c r="CF7" s="97">
        <v>247</v>
      </c>
      <c r="CG7" s="97">
        <v>254</v>
      </c>
      <c r="CH7" s="63">
        <v>158</v>
      </c>
      <c r="CI7" s="63">
        <v>208</v>
      </c>
      <c r="CJ7" s="63">
        <v>381</v>
      </c>
      <c r="CK7" s="63">
        <v>302</v>
      </c>
      <c r="CL7" s="63">
        <v>262</v>
      </c>
      <c r="CM7" s="63">
        <v>249</v>
      </c>
      <c r="CN7" s="63">
        <v>235</v>
      </c>
      <c r="CO7" s="63">
        <v>222</v>
      </c>
      <c r="CP7" s="63">
        <v>246</v>
      </c>
      <c r="CQ7" s="63">
        <v>398</v>
      </c>
      <c r="CR7" s="63">
        <v>428</v>
      </c>
      <c r="CS7" s="63">
        <v>303</v>
      </c>
      <c r="CT7" s="63">
        <v>362</v>
      </c>
      <c r="CU7" s="63">
        <v>219</v>
      </c>
      <c r="CV7" s="63">
        <v>181</v>
      </c>
      <c r="CW7" s="63">
        <v>222</v>
      </c>
      <c r="CX7" s="63">
        <v>256</v>
      </c>
      <c r="CY7" s="63">
        <v>290</v>
      </c>
      <c r="CZ7" s="63">
        <v>140</v>
      </c>
      <c r="DA7" s="63">
        <v>237</v>
      </c>
      <c r="DB7" s="63">
        <v>238</v>
      </c>
      <c r="DC7" s="63">
        <v>229</v>
      </c>
      <c r="DD7" s="63">
        <v>332</v>
      </c>
      <c r="DE7" s="63">
        <v>183</v>
      </c>
      <c r="DF7" s="63">
        <v>234</v>
      </c>
      <c r="DG7" s="63">
        <v>222</v>
      </c>
      <c r="DH7" s="63">
        <v>362</v>
      </c>
      <c r="DI7" s="63">
        <v>163</v>
      </c>
      <c r="DJ7" s="63">
        <v>272</v>
      </c>
      <c r="DK7" s="63">
        <v>186</v>
      </c>
      <c r="DL7" s="63">
        <v>223</v>
      </c>
      <c r="DM7" s="63">
        <v>169</v>
      </c>
      <c r="DN7" s="63">
        <v>151</v>
      </c>
      <c r="DO7" s="63">
        <v>215</v>
      </c>
      <c r="DP7" s="63">
        <v>444</v>
      </c>
      <c r="DQ7" s="63">
        <v>205</v>
      </c>
      <c r="DR7" s="63">
        <v>595</v>
      </c>
      <c r="DS7" s="63">
        <v>156</v>
      </c>
      <c r="DT7" s="63">
        <v>243</v>
      </c>
      <c r="DU7" s="63">
        <v>209</v>
      </c>
      <c r="DV7" s="63">
        <v>223</v>
      </c>
      <c r="DW7" s="63">
        <v>182</v>
      </c>
      <c r="DX7" s="63">
        <v>249</v>
      </c>
      <c r="DY7" s="63">
        <v>5551</v>
      </c>
      <c r="DZ7" s="63">
        <v>200</v>
      </c>
      <c r="EA7" s="63">
        <v>189</v>
      </c>
      <c r="EB7" s="63">
        <v>289</v>
      </c>
      <c r="EC7" s="63">
        <v>261</v>
      </c>
      <c r="ED7" s="63">
        <v>2860</v>
      </c>
      <c r="EE7" s="63">
        <v>209</v>
      </c>
      <c r="EF7" s="63">
        <v>249</v>
      </c>
      <c r="EG7" s="63">
        <v>244</v>
      </c>
      <c r="EH7" s="63">
        <v>247</v>
      </c>
      <c r="EI7" s="63">
        <v>184</v>
      </c>
      <c r="EJ7" s="63">
        <v>166</v>
      </c>
      <c r="EK7" s="63">
        <v>402</v>
      </c>
      <c r="EL7" s="63">
        <v>380</v>
      </c>
      <c r="EM7" s="63">
        <v>232</v>
      </c>
      <c r="EN7" s="63">
        <v>148</v>
      </c>
      <c r="EO7" s="63">
        <v>389</v>
      </c>
      <c r="EP7" s="63">
        <v>419</v>
      </c>
      <c r="EQ7" s="63">
        <v>562</v>
      </c>
      <c r="ER7" s="63">
        <v>1000</v>
      </c>
      <c r="ES7" s="63">
        <v>1180</v>
      </c>
      <c r="ET7" s="63">
        <v>1304</v>
      </c>
      <c r="EU7" s="63">
        <v>1552</v>
      </c>
      <c r="EV7" s="63">
        <v>653</v>
      </c>
      <c r="EW7" s="63">
        <v>1002</v>
      </c>
      <c r="EX7" s="63">
        <v>1101</v>
      </c>
      <c r="EY7" s="63">
        <v>869</v>
      </c>
      <c r="EZ7" s="63">
        <v>552</v>
      </c>
      <c r="FA7" s="63">
        <v>720</v>
      </c>
      <c r="FB7" s="63">
        <v>991</v>
      </c>
      <c r="FC7" s="63">
        <v>1350</v>
      </c>
      <c r="FD7" s="63">
        <v>1141</v>
      </c>
      <c r="FE7" s="63">
        <v>717</v>
      </c>
      <c r="FF7" s="63">
        <v>1263</v>
      </c>
      <c r="FG7" s="63">
        <v>1417</v>
      </c>
      <c r="FH7" s="63">
        <v>1205</v>
      </c>
      <c r="FI7" s="63">
        <v>1037</v>
      </c>
      <c r="FJ7" s="63">
        <v>1149</v>
      </c>
      <c r="FK7" s="63">
        <v>1458</v>
      </c>
      <c r="FL7" s="63">
        <v>1439</v>
      </c>
      <c r="FM7" s="63">
        <v>1099</v>
      </c>
      <c r="FN7" s="63">
        <v>657</v>
      </c>
    </row>
    <row r="8" spans="1:170" x14ac:dyDescent="0.3">
      <c r="D8" s="58"/>
      <c r="E8" s="58"/>
      <c r="I8" s="91"/>
      <c r="K8" s="91"/>
    </row>
    <row r="9" spans="1:170" x14ac:dyDescent="0.3">
      <c r="D9" s="58"/>
      <c r="E9" s="58"/>
      <c r="I9" s="91"/>
      <c r="K9" s="91"/>
    </row>
    <row r="10" spans="1:170" x14ac:dyDescent="0.3">
      <c r="A10" s="103" t="s">
        <v>158</v>
      </c>
      <c r="B10" s="103" t="s">
        <v>95</v>
      </c>
      <c r="C10" s="103" t="s">
        <v>96</v>
      </c>
      <c r="D10" s="103" t="s">
        <v>97</v>
      </c>
      <c r="E10" s="103" t="s">
        <v>46</v>
      </c>
      <c r="F10" s="103" t="s">
        <v>47</v>
      </c>
      <c r="G10" s="103" t="s">
        <v>48</v>
      </c>
      <c r="H10" s="103" t="s">
        <v>49</v>
      </c>
      <c r="I10" s="103" t="s">
        <v>50</v>
      </c>
      <c r="J10" s="103" t="s">
        <v>51</v>
      </c>
      <c r="K10" s="103" t="s">
        <v>52</v>
      </c>
      <c r="L10" s="103" t="s">
        <v>53</v>
      </c>
      <c r="M10" s="103" t="s">
        <v>54</v>
      </c>
      <c r="N10" s="103" t="s">
        <v>55</v>
      </c>
      <c r="O10" s="103" t="s">
        <v>56</v>
      </c>
      <c r="P10" s="103" t="s">
        <v>57</v>
      </c>
      <c r="Q10" s="103" t="s">
        <v>58</v>
      </c>
      <c r="R10" s="103" t="s">
        <v>59</v>
      </c>
      <c r="S10" s="103" t="s">
        <v>60</v>
      </c>
      <c r="T10" s="103" t="s">
        <v>61</v>
      </c>
      <c r="U10" s="103" t="s">
        <v>62</v>
      </c>
      <c r="V10" s="103" t="s">
        <v>63</v>
      </c>
      <c r="W10" s="103" t="s">
        <v>64</v>
      </c>
      <c r="X10" s="103" t="s">
        <v>65</v>
      </c>
      <c r="Y10" s="103" t="s">
        <v>66</v>
      </c>
      <c r="Z10" s="103" t="s">
        <v>67</v>
      </c>
      <c r="AA10" s="103" t="s">
        <v>68</v>
      </c>
      <c r="AB10" s="103" t="s">
        <v>69</v>
      </c>
      <c r="AC10" s="103" t="s">
        <v>70</v>
      </c>
      <c r="AD10" s="103" t="s">
        <v>71</v>
      </c>
      <c r="AE10" s="103" t="s">
        <v>72</v>
      </c>
      <c r="AF10" s="103" t="s">
        <v>73</v>
      </c>
      <c r="AG10" s="103" t="s">
        <v>74</v>
      </c>
      <c r="AH10" s="103" t="s">
        <v>75</v>
      </c>
      <c r="AI10" s="103" t="s">
        <v>76</v>
      </c>
      <c r="AJ10" s="103" t="s">
        <v>77</v>
      </c>
      <c r="AK10" s="103" t="s">
        <v>78</v>
      </c>
      <c r="AL10" s="103" t="s">
        <v>79</v>
      </c>
      <c r="AM10" s="103" t="s">
        <v>80</v>
      </c>
      <c r="AN10" s="104" t="s">
        <v>81</v>
      </c>
      <c r="AO10" s="104" t="s">
        <v>82</v>
      </c>
      <c r="AP10" s="104" t="s">
        <v>83</v>
      </c>
      <c r="AQ10" s="104" t="s">
        <v>84</v>
      </c>
      <c r="AR10" s="104" t="s">
        <v>85</v>
      </c>
      <c r="AS10" s="104" t="s">
        <v>86</v>
      </c>
      <c r="AT10" s="104" t="s">
        <v>87</v>
      </c>
      <c r="AU10" s="104" t="s">
        <v>88</v>
      </c>
      <c r="AV10" s="104" t="s">
        <v>89</v>
      </c>
      <c r="AW10" s="104" t="s">
        <v>90</v>
      </c>
      <c r="AX10" s="104" t="s">
        <v>91</v>
      </c>
      <c r="AY10" s="104" t="s">
        <v>92</v>
      </c>
      <c r="AZ10" s="104" t="s">
        <v>93</v>
      </c>
      <c r="BA10" s="104" t="s">
        <v>94</v>
      </c>
      <c r="BB10" s="104" t="s">
        <v>95</v>
      </c>
      <c r="BC10" s="104" t="s">
        <v>96</v>
      </c>
      <c r="BD10" s="104" t="s">
        <v>97</v>
      </c>
      <c r="BE10" s="104" t="s">
        <v>46</v>
      </c>
      <c r="BF10" s="104" t="s">
        <v>47</v>
      </c>
      <c r="BG10" s="104" t="s">
        <v>48</v>
      </c>
      <c r="BH10" s="104" t="s">
        <v>49</v>
      </c>
      <c r="BI10" s="104" t="s">
        <v>50</v>
      </c>
      <c r="BJ10" s="104" t="s">
        <v>51</v>
      </c>
      <c r="BK10" s="104" t="s">
        <v>52</v>
      </c>
      <c r="BL10" s="104" t="s">
        <v>53</v>
      </c>
      <c r="BM10" s="104" t="s">
        <v>54</v>
      </c>
      <c r="BN10" s="104" t="s">
        <v>55</v>
      </c>
      <c r="BO10" s="104" t="s">
        <v>56</v>
      </c>
      <c r="BP10" s="104" t="s">
        <v>57</v>
      </c>
      <c r="BQ10" s="104" t="s">
        <v>58</v>
      </c>
      <c r="BR10" s="104" t="s">
        <v>59</v>
      </c>
      <c r="BS10" s="104" t="s">
        <v>60</v>
      </c>
      <c r="BT10" s="104" t="s">
        <v>61</v>
      </c>
      <c r="BU10" s="104" t="s">
        <v>62</v>
      </c>
      <c r="BV10" s="104" t="s">
        <v>63</v>
      </c>
      <c r="BW10" s="104" t="s">
        <v>64</v>
      </c>
      <c r="BX10" s="104" t="s">
        <v>65</v>
      </c>
      <c r="BY10" s="104" t="s">
        <v>66</v>
      </c>
      <c r="BZ10" s="104" t="s">
        <v>67</v>
      </c>
      <c r="CA10" s="104" t="s">
        <v>68</v>
      </c>
      <c r="CB10" s="104" t="s">
        <v>69</v>
      </c>
      <c r="CC10" s="104" t="s">
        <v>70</v>
      </c>
      <c r="CD10" s="104" t="s">
        <v>71</v>
      </c>
      <c r="CE10" s="104" t="s">
        <v>72</v>
      </c>
      <c r="CF10" s="104" t="s">
        <v>73</v>
      </c>
      <c r="CG10" s="104" t="s">
        <v>74</v>
      </c>
      <c r="CH10" s="104" t="s">
        <v>75</v>
      </c>
      <c r="CI10" s="104" t="s">
        <v>76</v>
      </c>
      <c r="CJ10" s="104" t="s">
        <v>77</v>
      </c>
      <c r="CK10" s="104" t="s">
        <v>78</v>
      </c>
      <c r="CL10" s="104" t="s">
        <v>79</v>
      </c>
      <c r="CM10" s="104" t="s">
        <v>80</v>
      </c>
      <c r="CN10" s="104" t="s">
        <v>210</v>
      </c>
      <c r="CO10" s="104" t="s">
        <v>211</v>
      </c>
      <c r="CP10" s="104" t="s">
        <v>212</v>
      </c>
      <c r="CQ10" s="104" t="s">
        <v>213</v>
      </c>
      <c r="CR10" s="104" t="s">
        <v>214</v>
      </c>
      <c r="CS10" s="104" t="s">
        <v>216</v>
      </c>
      <c r="CT10" s="104" t="s">
        <v>217</v>
      </c>
      <c r="CU10" s="104" t="s">
        <v>218</v>
      </c>
      <c r="CV10" s="104" t="s">
        <v>220</v>
      </c>
      <c r="CW10" s="104" t="s">
        <v>90</v>
      </c>
      <c r="CX10" s="104" t="s">
        <v>91</v>
      </c>
      <c r="CY10" s="104" t="s">
        <v>92</v>
      </c>
      <c r="CZ10" s="104" t="s">
        <v>93</v>
      </c>
      <c r="DA10" s="104" t="s">
        <v>94</v>
      </c>
      <c r="DB10" s="104" t="s">
        <v>95</v>
      </c>
      <c r="DC10" s="104" t="s">
        <v>96</v>
      </c>
      <c r="DD10" s="104" t="s">
        <v>97</v>
      </c>
      <c r="DE10" s="104" t="s">
        <v>46</v>
      </c>
      <c r="DF10" s="104" t="s">
        <v>47</v>
      </c>
      <c r="DG10" s="104" t="s">
        <v>48</v>
      </c>
      <c r="DH10" s="104" t="s">
        <v>49</v>
      </c>
      <c r="DI10" s="104" t="s">
        <v>50</v>
      </c>
      <c r="DJ10" s="104" t="s">
        <v>51</v>
      </c>
      <c r="DK10" s="104" t="s">
        <v>52</v>
      </c>
      <c r="DL10" s="104" t="s">
        <v>53</v>
      </c>
      <c r="DM10" s="104" t="s">
        <v>54</v>
      </c>
      <c r="DN10" s="104" t="s">
        <v>55</v>
      </c>
      <c r="DO10" s="104" t="s">
        <v>56</v>
      </c>
      <c r="DP10" s="104" t="s">
        <v>57</v>
      </c>
      <c r="DQ10" s="104" t="s">
        <v>58</v>
      </c>
      <c r="DR10" s="104" t="s">
        <v>59</v>
      </c>
      <c r="DS10" s="104" t="s">
        <v>60</v>
      </c>
      <c r="DT10" s="104" t="s">
        <v>61</v>
      </c>
      <c r="DU10" s="104" t="s">
        <v>62</v>
      </c>
      <c r="DV10" s="104" t="s">
        <v>63</v>
      </c>
      <c r="DW10" s="104" t="s">
        <v>64</v>
      </c>
      <c r="DX10" s="104" t="s">
        <v>65</v>
      </c>
      <c r="DY10" s="104" t="s">
        <v>66</v>
      </c>
      <c r="DZ10" s="104" t="s">
        <v>67</v>
      </c>
      <c r="EA10" s="104" t="s">
        <v>68</v>
      </c>
      <c r="EB10" s="104" t="s">
        <v>69</v>
      </c>
      <c r="EC10" s="104" t="s">
        <v>70</v>
      </c>
      <c r="ED10" s="104" t="s">
        <v>71</v>
      </c>
      <c r="EE10" s="104" t="s">
        <v>72</v>
      </c>
      <c r="EF10" s="104" t="s">
        <v>73</v>
      </c>
      <c r="EG10" s="104" t="s">
        <v>74</v>
      </c>
      <c r="EH10" s="104" t="s">
        <v>75</v>
      </c>
      <c r="EI10" s="104" t="s">
        <v>76</v>
      </c>
      <c r="EJ10" s="104" t="s">
        <v>77</v>
      </c>
      <c r="EK10" s="104" t="s">
        <v>78</v>
      </c>
      <c r="EL10" s="104" t="s">
        <v>79</v>
      </c>
      <c r="EM10" s="104" t="s">
        <v>80</v>
      </c>
      <c r="EN10" s="104" t="s">
        <v>210</v>
      </c>
      <c r="EO10" s="104" t="s">
        <v>211</v>
      </c>
      <c r="EP10" s="104" t="s">
        <v>212</v>
      </c>
      <c r="EQ10" s="104" t="s">
        <v>213</v>
      </c>
      <c r="ER10" s="104" t="s">
        <v>214</v>
      </c>
      <c r="ES10" s="104" t="s">
        <v>216</v>
      </c>
      <c r="ET10" s="104" t="s">
        <v>217</v>
      </c>
      <c r="EU10" s="104" t="s">
        <v>218</v>
      </c>
      <c r="EV10" s="104" t="s">
        <v>220</v>
      </c>
      <c r="EW10" s="104" t="s">
        <v>90</v>
      </c>
      <c r="EX10" s="104" t="s">
        <v>91</v>
      </c>
      <c r="EY10" s="104" t="s">
        <v>92</v>
      </c>
      <c r="EZ10" s="104" t="s">
        <v>93</v>
      </c>
      <c r="FA10" s="104" t="s">
        <v>94</v>
      </c>
      <c r="FB10" s="104" t="s">
        <v>95</v>
      </c>
      <c r="FC10" s="104" t="s">
        <v>96</v>
      </c>
      <c r="FD10" s="104" t="s">
        <v>97</v>
      </c>
      <c r="FE10" s="104" t="s">
        <v>46</v>
      </c>
      <c r="FF10" s="104" t="s">
        <v>47</v>
      </c>
      <c r="FG10" s="104" t="s">
        <v>48</v>
      </c>
      <c r="FH10" s="104" t="s">
        <v>49</v>
      </c>
      <c r="FI10" s="104" t="s">
        <v>50</v>
      </c>
      <c r="FJ10" s="104" t="s">
        <v>51</v>
      </c>
      <c r="FK10" s="104" t="s">
        <v>52</v>
      </c>
      <c r="FL10" s="104" t="s">
        <v>53</v>
      </c>
      <c r="FM10" s="104" t="s">
        <v>54</v>
      </c>
      <c r="FN10" s="104" t="s">
        <v>55</v>
      </c>
    </row>
    <row r="11" spans="1:170" x14ac:dyDescent="0.3">
      <c r="A11" s="61" t="s">
        <v>13</v>
      </c>
      <c r="B11" s="61">
        <v>0</v>
      </c>
      <c r="C11" s="61">
        <v>0</v>
      </c>
      <c r="D11" s="61">
        <v>0</v>
      </c>
      <c r="E11" s="61">
        <v>0</v>
      </c>
      <c r="F11" s="61">
        <v>0</v>
      </c>
      <c r="G11" s="61">
        <v>0</v>
      </c>
      <c r="H11" s="61">
        <v>0</v>
      </c>
      <c r="I11" s="61">
        <v>0</v>
      </c>
      <c r="J11" s="91">
        <v>0</v>
      </c>
      <c r="K11" s="91">
        <v>0</v>
      </c>
      <c r="L11" s="91">
        <v>0</v>
      </c>
      <c r="M11" s="99">
        <v>0</v>
      </c>
      <c r="N11" s="91">
        <v>0</v>
      </c>
      <c r="O11" s="91">
        <v>0</v>
      </c>
      <c r="P11" s="91">
        <v>0</v>
      </c>
      <c r="Q11" s="91">
        <v>0</v>
      </c>
      <c r="R11" s="91">
        <v>0</v>
      </c>
      <c r="S11" s="91">
        <v>0</v>
      </c>
      <c r="T11" s="91">
        <v>0</v>
      </c>
      <c r="U11" s="91">
        <v>0</v>
      </c>
      <c r="V11" s="91">
        <v>0</v>
      </c>
      <c r="W11" s="91">
        <v>0</v>
      </c>
      <c r="X11" s="91">
        <v>0</v>
      </c>
      <c r="Y11" s="91">
        <v>0</v>
      </c>
      <c r="Z11" s="91">
        <v>0</v>
      </c>
      <c r="AA11" s="91">
        <v>0</v>
      </c>
      <c r="AB11" s="91">
        <v>0</v>
      </c>
      <c r="AC11" s="91">
        <v>0</v>
      </c>
      <c r="AD11" s="99">
        <v>0</v>
      </c>
      <c r="AE11" s="91">
        <v>0</v>
      </c>
      <c r="AF11" s="91">
        <v>0</v>
      </c>
      <c r="AG11" s="91">
        <v>0</v>
      </c>
      <c r="AH11" s="91">
        <v>0</v>
      </c>
      <c r="AI11" s="91">
        <v>0</v>
      </c>
      <c r="AJ11" s="99">
        <v>0</v>
      </c>
      <c r="AK11" s="91">
        <v>0</v>
      </c>
      <c r="AL11" s="91">
        <v>0</v>
      </c>
      <c r="AM11" s="91">
        <v>0</v>
      </c>
      <c r="AN11" s="91">
        <v>0</v>
      </c>
      <c r="AO11" s="99">
        <v>0</v>
      </c>
      <c r="AP11" s="91">
        <v>0</v>
      </c>
      <c r="AQ11" s="99">
        <v>0</v>
      </c>
      <c r="AR11" s="99">
        <v>0</v>
      </c>
      <c r="AS11" s="99">
        <v>0</v>
      </c>
      <c r="AT11" s="99">
        <v>0</v>
      </c>
      <c r="AU11" s="99">
        <v>0</v>
      </c>
      <c r="AV11" s="99">
        <v>0</v>
      </c>
      <c r="AW11" s="99">
        <v>0</v>
      </c>
      <c r="AX11" s="99">
        <v>0</v>
      </c>
      <c r="AY11" s="91">
        <v>0</v>
      </c>
      <c r="AZ11" s="91">
        <v>0</v>
      </c>
      <c r="BA11" s="91">
        <v>0</v>
      </c>
      <c r="BB11" s="91">
        <v>0</v>
      </c>
      <c r="BC11" s="91">
        <v>0</v>
      </c>
      <c r="BD11" s="91">
        <v>0</v>
      </c>
      <c r="BE11" s="91">
        <v>0</v>
      </c>
      <c r="BF11" s="91">
        <v>0</v>
      </c>
      <c r="BG11" s="91">
        <v>0</v>
      </c>
      <c r="BH11" s="91">
        <v>0</v>
      </c>
      <c r="BI11" s="91">
        <v>0</v>
      </c>
      <c r="BJ11" s="91">
        <v>0</v>
      </c>
      <c r="BK11" s="91">
        <v>0</v>
      </c>
      <c r="BL11" s="91">
        <v>0</v>
      </c>
      <c r="BM11" s="91">
        <v>0</v>
      </c>
      <c r="BN11" s="91">
        <v>0</v>
      </c>
      <c r="BO11" s="91">
        <v>0</v>
      </c>
      <c r="BP11" s="91">
        <v>0</v>
      </c>
      <c r="BQ11" s="91">
        <v>0</v>
      </c>
      <c r="BR11" s="91">
        <v>0</v>
      </c>
      <c r="BS11" s="91">
        <v>0</v>
      </c>
      <c r="BT11" s="91">
        <v>0</v>
      </c>
      <c r="BU11" s="91">
        <v>0</v>
      </c>
      <c r="BV11" s="91">
        <v>0</v>
      </c>
      <c r="BW11" s="91">
        <v>0</v>
      </c>
      <c r="BX11" s="91">
        <v>0</v>
      </c>
      <c r="BY11" s="91">
        <v>0</v>
      </c>
      <c r="BZ11" s="91">
        <v>0</v>
      </c>
      <c r="CA11" s="91">
        <v>0</v>
      </c>
      <c r="CB11" s="91">
        <v>0</v>
      </c>
      <c r="CC11" s="91">
        <v>0</v>
      </c>
      <c r="CD11" s="91">
        <v>0</v>
      </c>
      <c r="CE11" s="91">
        <v>0</v>
      </c>
      <c r="CF11" s="91">
        <v>0</v>
      </c>
      <c r="CG11" s="91">
        <v>0</v>
      </c>
      <c r="CH11" s="58">
        <v>0</v>
      </c>
      <c r="CI11" s="58">
        <v>0</v>
      </c>
      <c r="CJ11" s="58">
        <v>0</v>
      </c>
      <c r="CK11" s="58">
        <v>0</v>
      </c>
      <c r="CL11" s="58">
        <v>0</v>
      </c>
      <c r="CM11" s="58">
        <v>0</v>
      </c>
      <c r="CN11" s="58">
        <v>0</v>
      </c>
      <c r="CO11" s="58">
        <v>0</v>
      </c>
      <c r="CP11" s="58">
        <v>0</v>
      </c>
      <c r="CQ11" s="58">
        <v>0</v>
      </c>
      <c r="CR11" s="58">
        <v>0</v>
      </c>
      <c r="CS11" s="58">
        <v>0</v>
      </c>
      <c r="CT11" s="58">
        <v>0</v>
      </c>
      <c r="CU11" s="58">
        <v>0</v>
      </c>
      <c r="CV11" s="58">
        <v>0</v>
      </c>
      <c r="CW11" s="58">
        <v>0</v>
      </c>
      <c r="CX11" s="58">
        <v>0</v>
      </c>
      <c r="CY11" s="58">
        <v>0</v>
      </c>
      <c r="CZ11" s="58">
        <v>0</v>
      </c>
      <c r="DA11" s="58">
        <v>0</v>
      </c>
      <c r="DB11" s="58">
        <v>0</v>
      </c>
      <c r="DC11" s="58">
        <v>0</v>
      </c>
      <c r="DD11" s="58">
        <v>0</v>
      </c>
      <c r="DE11" s="58">
        <v>0</v>
      </c>
      <c r="DF11" s="58">
        <v>0</v>
      </c>
      <c r="DG11" s="58">
        <v>0</v>
      </c>
      <c r="DH11" s="58">
        <v>0</v>
      </c>
      <c r="DI11" s="58">
        <v>0</v>
      </c>
      <c r="DJ11" s="58">
        <v>0</v>
      </c>
      <c r="DK11" s="58">
        <v>0</v>
      </c>
      <c r="DL11" s="58">
        <v>0</v>
      </c>
      <c r="DM11" s="58">
        <v>0</v>
      </c>
      <c r="DN11" s="58">
        <v>0</v>
      </c>
      <c r="DO11" s="58">
        <v>0</v>
      </c>
      <c r="DP11" s="58">
        <v>0</v>
      </c>
      <c r="DQ11" s="58">
        <v>0</v>
      </c>
      <c r="DR11" s="58">
        <v>0</v>
      </c>
      <c r="DS11" s="58">
        <v>0</v>
      </c>
      <c r="DT11" s="58">
        <v>0</v>
      </c>
      <c r="DU11" s="58">
        <v>0</v>
      </c>
      <c r="DV11" s="58">
        <v>0</v>
      </c>
      <c r="DW11" s="58">
        <v>0</v>
      </c>
      <c r="DX11" s="58">
        <v>0</v>
      </c>
      <c r="DY11" s="58">
        <v>0</v>
      </c>
      <c r="DZ11" s="58">
        <v>0</v>
      </c>
      <c r="EA11" s="58">
        <v>0</v>
      </c>
      <c r="EB11" s="58">
        <v>0</v>
      </c>
      <c r="EC11" s="58">
        <v>0</v>
      </c>
      <c r="ED11" s="58">
        <v>0</v>
      </c>
      <c r="EE11" s="58">
        <v>0</v>
      </c>
      <c r="EF11" s="58">
        <v>0</v>
      </c>
      <c r="EG11" s="58">
        <v>0</v>
      </c>
      <c r="EH11" s="58">
        <v>0</v>
      </c>
      <c r="EI11" s="58">
        <v>0</v>
      </c>
      <c r="EJ11" s="58">
        <v>0</v>
      </c>
      <c r="EK11" s="58">
        <v>0</v>
      </c>
      <c r="EL11" s="58">
        <v>0</v>
      </c>
      <c r="EM11" s="58">
        <v>0</v>
      </c>
      <c r="EN11" s="58">
        <v>0</v>
      </c>
      <c r="EO11" s="58">
        <v>0</v>
      </c>
      <c r="EP11" s="58">
        <v>0</v>
      </c>
      <c r="EQ11" s="58">
        <v>0</v>
      </c>
      <c r="ER11" s="58">
        <v>0</v>
      </c>
      <c r="ES11" s="58">
        <v>0</v>
      </c>
      <c r="ET11" s="58">
        <v>0</v>
      </c>
      <c r="EU11" s="58">
        <v>0</v>
      </c>
      <c r="EV11" s="58">
        <v>0</v>
      </c>
      <c r="EW11" s="58">
        <v>0</v>
      </c>
      <c r="EX11" s="58">
        <v>1</v>
      </c>
      <c r="EY11" s="58">
        <v>0</v>
      </c>
      <c r="EZ11" s="58">
        <v>0</v>
      </c>
      <c r="FA11" s="58">
        <v>0</v>
      </c>
      <c r="FB11" s="58">
        <v>0</v>
      </c>
      <c r="FC11" s="58">
        <v>0</v>
      </c>
      <c r="FD11" s="58">
        <v>0</v>
      </c>
      <c r="FE11" s="58">
        <v>0</v>
      </c>
      <c r="FF11" s="58">
        <v>0</v>
      </c>
      <c r="FG11" s="58">
        <v>0</v>
      </c>
      <c r="FH11" s="58">
        <v>0</v>
      </c>
      <c r="FI11" s="58">
        <v>0</v>
      </c>
      <c r="FJ11" s="58">
        <v>0</v>
      </c>
      <c r="FK11" s="58">
        <v>0</v>
      </c>
      <c r="FL11" s="58">
        <v>0</v>
      </c>
      <c r="FM11" s="58">
        <v>0</v>
      </c>
      <c r="FN11" s="58">
        <v>0</v>
      </c>
    </row>
    <row r="12" spans="1:170" x14ac:dyDescent="0.3">
      <c r="A12" s="61" t="s">
        <v>15</v>
      </c>
      <c r="B12" s="61">
        <v>0</v>
      </c>
      <c r="C12" s="61">
        <v>0</v>
      </c>
      <c r="D12" s="61">
        <v>1</v>
      </c>
      <c r="E12" s="61">
        <v>3</v>
      </c>
      <c r="F12" s="61">
        <v>0</v>
      </c>
      <c r="G12" s="61">
        <v>0</v>
      </c>
      <c r="H12" s="61">
        <v>0</v>
      </c>
      <c r="I12" s="61">
        <v>0</v>
      </c>
      <c r="J12" s="91">
        <v>0</v>
      </c>
      <c r="K12" s="91">
        <v>0</v>
      </c>
      <c r="L12" s="91">
        <v>0</v>
      </c>
      <c r="M12" s="99">
        <v>0</v>
      </c>
      <c r="N12" s="91">
        <v>1</v>
      </c>
      <c r="O12" s="91">
        <v>1</v>
      </c>
      <c r="P12" s="91">
        <v>0</v>
      </c>
      <c r="Q12" s="91">
        <v>1</v>
      </c>
      <c r="R12" s="91">
        <v>0</v>
      </c>
      <c r="S12" s="91">
        <v>2</v>
      </c>
      <c r="T12" s="91">
        <v>0</v>
      </c>
      <c r="U12" s="91">
        <v>0</v>
      </c>
      <c r="V12" s="91">
        <v>0</v>
      </c>
      <c r="W12" s="91">
        <v>0</v>
      </c>
      <c r="X12" s="91">
        <v>0</v>
      </c>
      <c r="Y12" s="91">
        <v>0</v>
      </c>
      <c r="Z12" s="91">
        <v>0</v>
      </c>
      <c r="AA12" s="91">
        <v>0</v>
      </c>
      <c r="AB12" s="91">
        <v>1</v>
      </c>
      <c r="AC12" s="91">
        <v>1</v>
      </c>
      <c r="AD12" s="99">
        <v>0</v>
      </c>
      <c r="AE12" s="91">
        <v>0</v>
      </c>
      <c r="AF12" s="91">
        <v>2</v>
      </c>
      <c r="AG12" s="91">
        <v>1</v>
      </c>
      <c r="AH12" s="91">
        <v>1</v>
      </c>
      <c r="AI12" s="99">
        <v>1</v>
      </c>
      <c r="AJ12" s="99">
        <v>1</v>
      </c>
      <c r="AK12" s="91">
        <v>0</v>
      </c>
      <c r="AL12" s="91">
        <v>0</v>
      </c>
      <c r="AM12" s="99">
        <v>1</v>
      </c>
      <c r="AN12" s="99">
        <v>0</v>
      </c>
      <c r="AO12" s="99">
        <v>0</v>
      </c>
      <c r="AP12" s="99">
        <v>0</v>
      </c>
      <c r="AQ12" s="99">
        <v>0</v>
      </c>
      <c r="AR12" s="99">
        <v>0</v>
      </c>
      <c r="AS12" s="99">
        <v>0</v>
      </c>
      <c r="AT12" s="99">
        <v>0</v>
      </c>
      <c r="AU12" s="99">
        <v>0</v>
      </c>
      <c r="AV12" s="99">
        <v>1</v>
      </c>
      <c r="AW12" s="99">
        <v>0</v>
      </c>
      <c r="AX12" s="99">
        <v>0</v>
      </c>
      <c r="AY12" s="91">
        <v>1</v>
      </c>
      <c r="AZ12" s="91">
        <v>0</v>
      </c>
      <c r="BA12" s="91">
        <v>0</v>
      </c>
      <c r="BB12" s="91">
        <v>0</v>
      </c>
      <c r="BC12" s="91">
        <v>0</v>
      </c>
      <c r="BD12" s="91">
        <v>0</v>
      </c>
      <c r="BE12" s="91">
        <v>0</v>
      </c>
      <c r="BF12" s="91">
        <v>0</v>
      </c>
      <c r="BG12" s="91">
        <v>0</v>
      </c>
      <c r="BH12" s="91">
        <v>0</v>
      </c>
      <c r="BI12" s="91">
        <v>1</v>
      </c>
      <c r="BJ12" s="91">
        <v>0</v>
      </c>
      <c r="BK12" s="91">
        <v>0</v>
      </c>
      <c r="BL12" s="91">
        <v>1</v>
      </c>
      <c r="BM12" s="91">
        <v>0</v>
      </c>
      <c r="BN12" s="91">
        <v>0</v>
      </c>
      <c r="BO12" s="91">
        <v>0</v>
      </c>
      <c r="BP12" s="91">
        <v>0</v>
      </c>
      <c r="BQ12" s="91">
        <v>0</v>
      </c>
      <c r="BR12" s="91">
        <v>0</v>
      </c>
      <c r="BS12" s="91">
        <v>1</v>
      </c>
      <c r="BT12" s="91">
        <v>0</v>
      </c>
      <c r="BU12" s="91">
        <v>0</v>
      </c>
      <c r="BV12" s="91">
        <v>0</v>
      </c>
      <c r="BW12" s="91">
        <v>0</v>
      </c>
      <c r="BX12" s="91">
        <v>0</v>
      </c>
      <c r="BY12" s="91">
        <v>0</v>
      </c>
      <c r="BZ12" s="91">
        <v>0</v>
      </c>
      <c r="CA12" s="91">
        <v>0</v>
      </c>
      <c r="CB12" s="91">
        <v>0</v>
      </c>
      <c r="CC12" s="91">
        <v>0</v>
      </c>
      <c r="CD12" s="91">
        <v>0</v>
      </c>
      <c r="CE12" s="91">
        <v>0</v>
      </c>
      <c r="CF12" s="91">
        <v>0</v>
      </c>
      <c r="CG12" s="91">
        <v>0</v>
      </c>
      <c r="CH12" s="58">
        <v>1</v>
      </c>
      <c r="CI12" s="58">
        <v>1</v>
      </c>
      <c r="CJ12" s="58">
        <v>0</v>
      </c>
      <c r="CK12" s="58">
        <v>0</v>
      </c>
      <c r="CL12" s="58">
        <v>0</v>
      </c>
      <c r="CM12" s="58">
        <v>0</v>
      </c>
      <c r="CN12" s="58">
        <v>0</v>
      </c>
      <c r="CO12" s="58">
        <v>0</v>
      </c>
      <c r="CP12" s="58">
        <v>0</v>
      </c>
      <c r="CQ12" s="58">
        <v>0</v>
      </c>
      <c r="CR12" s="58">
        <v>0</v>
      </c>
      <c r="CS12" s="58">
        <v>0</v>
      </c>
      <c r="CT12" s="58">
        <v>0</v>
      </c>
      <c r="CU12" s="58">
        <v>1</v>
      </c>
      <c r="CV12" s="58">
        <v>0</v>
      </c>
      <c r="CW12" s="58">
        <v>0</v>
      </c>
      <c r="CX12" s="58">
        <v>0</v>
      </c>
      <c r="CY12" s="58">
        <v>0</v>
      </c>
      <c r="CZ12" s="58">
        <v>0</v>
      </c>
      <c r="DA12" s="58">
        <v>0</v>
      </c>
      <c r="DB12" s="58">
        <v>0</v>
      </c>
      <c r="DC12" s="58">
        <v>0</v>
      </c>
      <c r="DD12" s="58">
        <v>0</v>
      </c>
      <c r="DE12" s="58">
        <v>0</v>
      </c>
      <c r="DF12" s="58">
        <v>0</v>
      </c>
      <c r="DG12" s="58">
        <v>0</v>
      </c>
      <c r="DH12" s="58">
        <v>0</v>
      </c>
      <c r="DI12" s="58">
        <v>0</v>
      </c>
      <c r="DJ12" s="58">
        <v>0</v>
      </c>
      <c r="DK12" s="58">
        <v>0</v>
      </c>
      <c r="DL12" s="58">
        <v>0</v>
      </c>
      <c r="DM12" s="58">
        <v>1</v>
      </c>
      <c r="DN12" s="58">
        <v>0</v>
      </c>
      <c r="DO12" s="58">
        <v>1</v>
      </c>
      <c r="DP12" s="58">
        <v>0</v>
      </c>
      <c r="DQ12" s="58">
        <v>0</v>
      </c>
      <c r="DR12" s="58">
        <v>0</v>
      </c>
      <c r="DS12" s="58">
        <v>0</v>
      </c>
      <c r="DT12" s="58">
        <v>0</v>
      </c>
      <c r="DU12" s="58">
        <v>0</v>
      </c>
      <c r="DV12" s="58">
        <v>0</v>
      </c>
      <c r="DW12" s="58">
        <v>0</v>
      </c>
      <c r="DX12" s="58">
        <v>0</v>
      </c>
      <c r="DY12" s="58">
        <v>0</v>
      </c>
      <c r="DZ12" s="58">
        <v>0</v>
      </c>
      <c r="EA12" s="58">
        <v>1</v>
      </c>
      <c r="EB12" s="58">
        <v>0</v>
      </c>
      <c r="EC12" s="58">
        <v>0</v>
      </c>
      <c r="ED12" s="58">
        <v>0</v>
      </c>
      <c r="EE12" s="58">
        <v>0</v>
      </c>
      <c r="EF12" s="58">
        <v>0</v>
      </c>
      <c r="EG12" s="58">
        <v>0</v>
      </c>
      <c r="EH12" s="58">
        <v>0</v>
      </c>
      <c r="EI12" s="58">
        <v>0</v>
      </c>
      <c r="EJ12" s="58">
        <v>1</v>
      </c>
      <c r="EK12" s="58">
        <v>0</v>
      </c>
      <c r="EL12" s="58">
        <v>0</v>
      </c>
      <c r="EM12" s="58">
        <v>0</v>
      </c>
      <c r="EN12" s="58">
        <v>0</v>
      </c>
      <c r="EO12" s="58">
        <v>0</v>
      </c>
      <c r="EP12" s="58">
        <v>0</v>
      </c>
      <c r="EQ12" s="58">
        <v>0</v>
      </c>
      <c r="ER12" s="58">
        <v>0</v>
      </c>
      <c r="ES12" s="58">
        <v>1</v>
      </c>
      <c r="ET12" s="58">
        <v>0</v>
      </c>
      <c r="EU12" s="58">
        <v>0</v>
      </c>
      <c r="EV12" s="58">
        <v>0</v>
      </c>
      <c r="EW12" s="58">
        <v>0</v>
      </c>
      <c r="EX12" s="58">
        <v>0</v>
      </c>
      <c r="EY12" s="58">
        <v>0</v>
      </c>
      <c r="EZ12" s="58">
        <v>0</v>
      </c>
      <c r="FA12" s="58">
        <v>0</v>
      </c>
      <c r="FB12" s="58">
        <v>0</v>
      </c>
      <c r="FC12" s="58">
        <v>0</v>
      </c>
      <c r="FD12" s="58">
        <v>0</v>
      </c>
      <c r="FE12" s="58">
        <v>0</v>
      </c>
      <c r="FF12" s="58">
        <v>0</v>
      </c>
      <c r="FG12" s="58">
        <v>0</v>
      </c>
      <c r="FH12" s="58">
        <v>0</v>
      </c>
      <c r="FI12" s="58">
        <v>0</v>
      </c>
      <c r="FJ12" s="58">
        <v>0</v>
      </c>
      <c r="FK12" s="58">
        <v>0</v>
      </c>
      <c r="FL12" s="58">
        <v>0</v>
      </c>
      <c r="FM12" s="58">
        <v>0</v>
      </c>
      <c r="FN12" s="58">
        <v>0</v>
      </c>
    </row>
    <row r="13" spans="1:170" ht="14.5" x14ac:dyDescent="0.35">
      <c r="A13" s="61" t="s">
        <v>17</v>
      </c>
      <c r="B13" s="61">
        <v>15</v>
      </c>
      <c r="C13" s="61">
        <v>26</v>
      </c>
      <c r="D13" s="61">
        <v>26</v>
      </c>
      <c r="E13" s="61">
        <v>21</v>
      </c>
      <c r="F13" s="61">
        <v>15</v>
      </c>
      <c r="G13" s="61">
        <v>21</v>
      </c>
      <c r="H13" s="61">
        <v>23</v>
      </c>
      <c r="I13" s="61">
        <v>12</v>
      </c>
      <c r="J13" s="91">
        <v>17</v>
      </c>
      <c r="K13" s="91">
        <v>15</v>
      </c>
      <c r="L13" s="91">
        <v>13</v>
      </c>
      <c r="M13" s="99">
        <v>18</v>
      </c>
      <c r="N13" s="91">
        <v>10</v>
      </c>
      <c r="O13" s="91">
        <v>8</v>
      </c>
      <c r="P13" s="91">
        <v>21</v>
      </c>
      <c r="Q13" s="91">
        <v>20</v>
      </c>
      <c r="R13" s="91">
        <v>18</v>
      </c>
      <c r="S13" s="91">
        <v>15</v>
      </c>
      <c r="T13" s="91">
        <v>17</v>
      </c>
      <c r="U13" s="91">
        <v>16</v>
      </c>
      <c r="V13" s="91">
        <v>13</v>
      </c>
      <c r="W13" s="91">
        <v>11</v>
      </c>
      <c r="X13" s="91">
        <v>16</v>
      </c>
      <c r="Y13" s="91">
        <v>13</v>
      </c>
      <c r="Z13" s="91">
        <v>22</v>
      </c>
      <c r="AA13" s="91">
        <v>21</v>
      </c>
      <c r="AB13" s="91">
        <v>50</v>
      </c>
      <c r="AC13" s="91">
        <v>23</v>
      </c>
      <c r="AD13" s="99">
        <v>28</v>
      </c>
      <c r="AE13" s="91">
        <v>13</v>
      </c>
      <c r="AF13" s="91">
        <v>26</v>
      </c>
      <c r="AG13" s="91">
        <v>27</v>
      </c>
      <c r="AH13" s="91">
        <v>19</v>
      </c>
      <c r="AI13" s="99">
        <v>20</v>
      </c>
      <c r="AJ13" s="99">
        <v>39</v>
      </c>
      <c r="AK13" s="99">
        <v>32</v>
      </c>
      <c r="AL13" s="99">
        <v>29</v>
      </c>
      <c r="AM13" s="99">
        <v>12</v>
      </c>
      <c r="AN13" s="99">
        <v>26</v>
      </c>
      <c r="AO13" s="99">
        <v>13</v>
      </c>
      <c r="AP13" s="99">
        <v>19</v>
      </c>
      <c r="AQ13" s="99">
        <v>23</v>
      </c>
      <c r="AR13" s="99">
        <v>20</v>
      </c>
      <c r="AS13" s="58">
        <v>26</v>
      </c>
      <c r="AT13" s="58">
        <v>26</v>
      </c>
      <c r="AU13" s="99">
        <v>36</v>
      </c>
      <c r="AV13" s="99">
        <v>30</v>
      </c>
      <c r="AW13" s="99">
        <v>35</v>
      </c>
      <c r="AX13" s="99">
        <v>19</v>
      </c>
      <c r="AY13" s="91">
        <v>69</v>
      </c>
      <c r="AZ13" s="91">
        <v>44</v>
      </c>
      <c r="BA13" s="91">
        <v>17</v>
      </c>
      <c r="BB13" s="91">
        <v>31</v>
      </c>
      <c r="BC13" s="91">
        <v>28</v>
      </c>
      <c r="BD13" s="91">
        <v>26</v>
      </c>
      <c r="BE13" s="91">
        <v>19</v>
      </c>
      <c r="BF13" s="91">
        <v>33</v>
      </c>
      <c r="BG13" s="91">
        <v>32</v>
      </c>
      <c r="BH13" s="91">
        <v>36</v>
      </c>
      <c r="BI13" s="91">
        <v>23</v>
      </c>
      <c r="BJ13" s="91">
        <v>35</v>
      </c>
      <c r="BK13" s="91">
        <v>34</v>
      </c>
      <c r="BL13" s="91">
        <v>34</v>
      </c>
      <c r="BM13" s="91">
        <v>23</v>
      </c>
      <c r="BN13" s="91">
        <v>24</v>
      </c>
      <c r="BO13" s="91">
        <v>33</v>
      </c>
      <c r="BP13" s="91">
        <v>36</v>
      </c>
      <c r="BQ13" s="91">
        <v>29</v>
      </c>
      <c r="BR13" s="91">
        <v>54</v>
      </c>
      <c r="BS13" s="91">
        <v>39</v>
      </c>
      <c r="BT13" s="91">
        <v>33</v>
      </c>
      <c r="BU13" s="91">
        <v>42</v>
      </c>
      <c r="BV13" s="91">
        <v>27</v>
      </c>
      <c r="BW13" s="91">
        <v>49</v>
      </c>
      <c r="BX13" s="91">
        <v>43</v>
      </c>
      <c r="BY13" s="91">
        <v>35</v>
      </c>
      <c r="BZ13" s="91">
        <v>44</v>
      </c>
      <c r="CA13" s="91">
        <v>37</v>
      </c>
      <c r="CB13" s="91">
        <v>37</v>
      </c>
      <c r="CC13" s="91">
        <v>39</v>
      </c>
      <c r="CD13" s="91">
        <v>36</v>
      </c>
      <c r="CE13" s="91">
        <v>22</v>
      </c>
      <c r="CF13" s="91">
        <v>28</v>
      </c>
      <c r="CG13" s="91">
        <v>39</v>
      </c>
      <c r="CH13" s="58">
        <v>21</v>
      </c>
      <c r="CI13" s="58">
        <v>21</v>
      </c>
      <c r="CJ13" s="58">
        <v>16</v>
      </c>
      <c r="CK13" s="58">
        <v>16</v>
      </c>
      <c r="CL13" s="58">
        <v>12</v>
      </c>
      <c r="CM13" s="58">
        <v>46</v>
      </c>
      <c r="CN13" s="58">
        <v>11</v>
      </c>
      <c r="CO13" s="58">
        <v>26</v>
      </c>
      <c r="CP13" s="58">
        <v>21</v>
      </c>
      <c r="CQ13" s="58">
        <v>58</v>
      </c>
      <c r="CR13" s="58">
        <v>50</v>
      </c>
      <c r="CS13" s="58">
        <v>16</v>
      </c>
      <c r="CT13" s="58">
        <v>27</v>
      </c>
      <c r="CU13" s="58">
        <v>32</v>
      </c>
      <c r="CV13" s="58">
        <v>37</v>
      </c>
      <c r="CW13" s="58">
        <v>20</v>
      </c>
      <c r="CX13" s="58">
        <v>33</v>
      </c>
      <c r="CY13" s="58">
        <v>35</v>
      </c>
      <c r="CZ13" s="58">
        <v>32</v>
      </c>
      <c r="DA13" s="58">
        <v>46</v>
      </c>
      <c r="DB13" s="58">
        <v>52</v>
      </c>
      <c r="DC13" s="58">
        <v>21</v>
      </c>
      <c r="DD13" s="58">
        <v>24</v>
      </c>
      <c r="DE13" s="58">
        <v>9</v>
      </c>
      <c r="DF13" s="58">
        <v>33</v>
      </c>
      <c r="DG13" s="58">
        <v>33</v>
      </c>
      <c r="DH13" s="58">
        <v>37</v>
      </c>
      <c r="DI13" s="58">
        <v>31</v>
      </c>
      <c r="DJ13" s="58">
        <v>29</v>
      </c>
      <c r="DK13" s="58">
        <v>44</v>
      </c>
      <c r="DL13" s="58">
        <v>40</v>
      </c>
      <c r="DM13" s="58">
        <v>57</v>
      </c>
      <c r="DN13" s="58">
        <v>25</v>
      </c>
      <c r="DO13" s="58">
        <v>34</v>
      </c>
      <c r="DP13" s="58">
        <v>38</v>
      </c>
      <c r="DQ13" s="58">
        <v>54</v>
      </c>
      <c r="DR13" s="58">
        <v>60</v>
      </c>
      <c r="DS13" s="58">
        <v>48</v>
      </c>
      <c r="DT13" s="58">
        <v>45</v>
      </c>
      <c r="DU13" s="58">
        <v>56</v>
      </c>
      <c r="DV13" s="58">
        <v>50</v>
      </c>
      <c r="DW13" s="58">
        <v>41</v>
      </c>
      <c r="DX13" s="58">
        <v>54</v>
      </c>
      <c r="DY13" s="58">
        <v>44</v>
      </c>
      <c r="DZ13" s="58">
        <v>45</v>
      </c>
      <c r="EA13" s="58">
        <v>38</v>
      </c>
      <c r="EB13" s="58">
        <v>41</v>
      </c>
      <c r="EC13" s="58">
        <v>51</v>
      </c>
      <c r="ED13" s="58">
        <v>54</v>
      </c>
      <c r="EE13" s="58">
        <v>41</v>
      </c>
      <c r="EF13" s="58">
        <v>42</v>
      </c>
      <c r="EG13" s="58">
        <v>69</v>
      </c>
      <c r="EH13" s="58">
        <v>41</v>
      </c>
      <c r="EI13" s="58">
        <v>42</v>
      </c>
      <c r="EJ13" s="58">
        <v>28</v>
      </c>
      <c r="EK13" s="58">
        <v>55</v>
      </c>
      <c r="EL13" s="58">
        <v>43</v>
      </c>
      <c r="EM13" s="58">
        <v>12</v>
      </c>
      <c r="EN13" s="58">
        <v>23</v>
      </c>
      <c r="EO13" s="58">
        <v>38</v>
      </c>
      <c r="EP13" s="58">
        <v>32</v>
      </c>
      <c r="EQ13" s="58">
        <v>42</v>
      </c>
      <c r="ER13" s="58">
        <v>42</v>
      </c>
      <c r="ES13" s="58">
        <v>59</v>
      </c>
      <c r="ET13" s="58">
        <v>50</v>
      </c>
      <c r="EU13" s="58">
        <v>76</v>
      </c>
      <c r="EV13" s="58">
        <v>45</v>
      </c>
      <c r="EW13" s="58">
        <v>60</v>
      </c>
      <c r="EX13" s="58">
        <v>44</v>
      </c>
      <c r="EY13" s="58">
        <v>41</v>
      </c>
      <c r="EZ13" s="58">
        <v>28</v>
      </c>
      <c r="FA13" s="58">
        <v>32</v>
      </c>
      <c r="FB13" s="58">
        <v>35</v>
      </c>
      <c r="FC13" s="58">
        <v>54</v>
      </c>
      <c r="FD13" s="58">
        <v>65</v>
      </c>
      <c r="FE13" s="58">
        <v>31</v>
      </c>
      <c r="FF13" s="58">
        <v>57</v>
      </c>
      <c r="FG13" s="58">
        <v>55</v>
      </c>
      <c r="FH13" s="58">
        <v>57</v>
      </c>
      <c r="FI13" s="58">
        <v>39</v>
      </c>
      <c r="FJ13" s="58">
        <v>43</v>
      </c>
      <c r="FK13">
        <v>55</v>
      </c>
      <c r="FL13" s="58">
        <v>55</v>
      </c>
      <c r="FM13" s="58">
        <v>62</v>
      </c>
      <c r="FN13" s="58">
        <v>33</v>
      </c>
    </row>
    <row r="14" spans="1:170" ht="14.5" x14ac:dyDescent="0.35">
      <c r="A14" s="61" t="s">
        <v>19</v>
      </c>
      <c r="B14" s="61">
        <v>1</v>
      </c>
      <c r="C14" s="61">
        <v>2</v>
      </c>
      <c r="D14" s="61">
        <v>3</v>
      </c>
      <c r="E14" s="61">
        <v>3</v>
      </c>
      <c r="F14" s="61">
        <v>4</v>
      </c>
      <c r="G14" s="61">
        <v>8</v>
      </c>
      <c r="H14" s="61">
        <v>4</v>
      </c>
      <c r="I14" s="61">
        <v>3</v>
      </c>
      <c r="J14" s="91">
        <v>0</v>
      </c>
      <c r="K14" s="91">
        <v>7</v>
      </c>
      <c r="L14" s="91">
        <v>0</v>
      </c>
      <c r="M14" s="99">
        <v>4</v>
      </c>
      <c r="N14" s="91">
        <v>2</v>
      </c>
      <c r="O14" s="91">
        <v>1</v>
      </c>
      <c r="P14" s="91">
        <v>2</v>
      </c>
      <c r="Q14" s="91">
        <v>5</v>
      </c>
      <c r="R14" s="91">
        <v>0</v>
      </c>
      <c r="S14" s="91">
        <v>2</v>
      </c>
      <c r="T14" s="91">
        <v>2</v>
      </c>
      <c r="U14" s="91">
        <v>2</v>
      </c>
      <c r="V14" s="91">
        <v>2</v>
      </c>
      <c r="W14" s="91">
        <v>2</v>
      </c>
      <c r="X14" s="91">
        <v>1</v>
      </c>
      <c r="Y14" s="91">
        <v>3</v>
      </c>
      <c r="Z14" s="91">
        <v>2</v>
      </c>
      <c r="AA14" s="91">
        <v>0</v>
      </c>
      <c r="AB14" s="91">
        <v>1</v>
      </c>
      <c r="AC14" s="91">
        <v>2</v>
      </c>
      <c r="AD14" s="99">
        <v>1</v>
      </c>
      <c r="AE14" s="91">
        <v>6</v>
      </c>
      <c r="AF14" s="91">
        <v>2</v>
      </c>
      <c r="AG14" s="91">
        <v>3</v>
      </c>
      <c r="AH14" s="91">
        <v>4</v>
      </c>
      <c r="AI14" s="99">
        <v>2</v>
      </c>
      <c r="AJ14" s="99">
        <v>3</v>
      </c>
      <c r="AK14" s="99">
        <v>4</v>
      </c>
      <c r="AL14" s="99">
        <v>3</v>
      </c>
      <c r="AM14" s="99">
        <v>1</v>
      </c>
      <c r="AN14" s="99">
        <v>0</v>
      </c>
      <c r="AO14" s="99">
        <v>0</v>
      </c>
      <c r="AP14" s="99">
        <v>3</v>
      </c>
      <c r="AQ14" s="99">
        <v>0</v>
      </c>
      <c r="AR14" s="99">
        <v>4</v>
      </c>
      <c r="AS14" s="58">
        <v>7</v>
      </c>
      <c r="AT14" s="58">
        <v>1</v>
      </c>
      <c r="AU14" s="99">
        <v>0</v>
      </c>
      <c r="AV14" s="99">
        <v>2</v>
      </c>
      <c r="AW14" s="99">
        <v>6</v>
      </c>
      <c r="AX14" s="99">
        <v>0</v>
      </c>
      <c r="AY14" s="91">
        <v>2</v>
      </c>
      <c r="AZ14" s="91">
        <v>2</v>
      </c>
      <c r="BA14" s="91">
        <v>0</v>
      </c>
      <c r="BB14" s="91">
        <v>5</v>
      </c>
      <c r="BC14" s="91">
        <v>4</v>
      </c>
      <c r="BD14" s="91">
        <v>1</v>
      </c>
      <c r="BE14" s="91">
        <v>1</v>
      </c>
      <c r="BF14" s="91">
        <v>3</v>
      </c>
      <c r="BG14" s="91">
        <v>4</v>
      </c>
      <c r="BH14" s="91">
        <v>2</v>
      </c>
      <c r="BI14" s="91">
        <v>3</v>
      </c>
      <c r="BJ14" s="91">
        <v>8</v>
      </c>
      <c r="BK14" s="91">
        <v>2</v>
      </c>
      <c r="BL14" s="91">
        <v>3</v>
      </c>
      <c r="BM14" s="91">
        <v>1</v>
      </c>
      <c r="BN14" s="91">
        <v>0</v>
      </c>
      <c r="BO14" s="91">
        <v>3</v>
      </c>
      <c r="BP14" s="91">
        <v>5</v>
      </c>
      <c r="BQ14" s="91">
        <v>2</v>
      </c>
      <c r="BR14" s="91">
        <v>2</v>
      </c>
      <c r="BS14" s="91">
        <v>0</v>
      </c>
      <c r="BT14" s="91">
        <v>3</v>
      </c>
      <c r="BU14" s="91">
        <v>2</v>
      </c>
      <c r="BV14" s="91">
        <v>2</v>
      </c>
      <c r="BW14" s="91">
        <v>1</v>
      </c>
      <c r="BX14" s="91">
        <v>4</v>
      </c>
      <c r="BY14" s="91">
        <v>1</v>
      </c>
      <c r="BZ14" s="91">
        <v>2</v>
      </c>
      <c r="CA14" s="91">
        <v>7</v>
      </c>
      <c r="CB14" s="91">
        <v>9</v>
      </c>
      <c r="CC14" s="91">
        <v>7</v>
      </c>
      <c r="CD14" s="91">
        <v>3</v>
      </c>
      <c r="CE14" s="91">
        <v>1</v>
      </c>
      <c r="CF14" s="91">
        <v>1</v>
      </c>
      <c r="CG14" s="91">
        <v>1</v>
      </c>
      <c r="CH14" s="58">
        <v>4</v>
      </c>
      <c r="CI14" s="58">
        <v>4</v>
      </c>
      <c r="CJ14" s="58">
        <v>4</v>
      </c>
      <c r="CK14" s="58">
        <v>26</v>
      </c>
      <c r="CL14" s="58">
        <v>12</v>
      </c>
      <c r="CM14" s="58">
        <v>12</v>
      </c>
      <c r="CN14" s="58">
        <v>1</v>
      </c>
      <c r="CO14" s="58">
        <v>47</v>
      </c>
      <c r="CP14" s="58">
        <v>7</v>
      </c>
      <c r="CQ14" s="58">
        <v>12</v>
      </c>
      <c r="CR14" s="58">
        <v>24</v>
      </c>
      <c r="CS14" s="58">
        <v>3</v>
      </c>
      <c r="CT14" s="58">
        <v>22</v>
      </c>
      <c r="CU14" s="58">
        <v>15</v>
      </c>
      <c r="CV14" s="58">
        <v>12</v>
      </c>
      <c r="CW14" s="58">
        <v>6</v>
      </c>
      <c r="CX14" s="58">
        <v>10</v>
      </c>
      <c r="CY14" s="58">
        <v>10</v>
      </c>
      <c r="CZ14" s="58">
        <v>25</v>
      </c>
      <c r="DA14" s="58">
        <v>18</v>
      </c>
      <c r="DB14" s="58">
        <v>3</v>
      </c>
      <c r="DC14" s="58">
        <v>6</v>
      </c>
      <c r="DD14" s="58">
        <v>1</v>
      </c>
      <c r="DE14" s="58">
        <v>0</v>
      </c>
      <c r="DF14" s="58">
        <v>4</v>
      </c>
      <c r="DG14" s="58">
        <v>4</v>
      </c>
      <c r="DH14" s="58">
        <v>1</v>
      </c>
      <c r="DI14" s="58">
        <v>13</v>
      </c>
      <c r="DJ14" s="58">
        <v>2</v>
      </c>
      <c r="DK14" s="58">
        <v>16</v>
      </c>
      <c r="DL14" s="58">
        <v>2</v>
      </c>
      <c r="DM14" s="58">
        <v>6</v>
      </c>
      <c r="DN14" s="58">
        <v>3</v>
      </c>
      <c r="DO14" s="58">
        <v>3</v>
      </c>
      <c r="DP14" s="58">
        <v>4</v>
      </c>
      <c r="DQ14" s="58">
        <v>4</v>
      </c>
      <c r="DR14" s="58">
        <v>5</v>
      </c>
      <c r="DS14" s="58">
        <v>3</v>
      </c>
      <c r="DT14" s="58">
        <v>108</v>
      </c>
      <c r="DU14" s="58">
        <v>6</v>
      </c>
      <c r="DV14" s="58">
        <v>5</v>
      </c>
      <c r="DW14" s="58">
        <v>13</v>
      </c>
      <c r="DX14" s="58">
        <v>5</v>
      </c>
      <c r="DY14" s="58">
        <v>6</v>
      </c>
      <c r="DZ14" s="58">
        <v>2</v>
      </c>
      <c r="EA14" s="58">
        <v>5</v>
      </c>
      <c r="EB14" s="58">
        <v>7</v>
      </c>
      <c r="EC14" s="58">
        <v>6</v>
      </c>
      <c r="ED14" s="58">
        <v>8</v>
      </c>
      <c r="EE14" s="58">
        <v>3</v>
      </c>
      <c r="EF14" s="58">
        <v>3</v>
      </c>
      <c r="EG14" s="58">
        <v>4</v>
      </c>
      <c r="EH14" s="58">
        <v>5</v>
      </c>
      <c r="EI14" s="58">
        <v>2</v>
      </c>
      <c r="EJ14" s="58">
        <v>5</v>
      </c>
      <c r="EK14" s="58">
        <v>0</v>
      </c>
      <c r="EL14" s="58">
        <v>8</v>
      </c>
      <c r="EM14" s="58">
        <v>3</v>
      </c>
      <c r="EN14" s="58">
        <v>1</v>
      </c>
      <c r="EO14" s="58">
        <v>6</v>
      </c>
      <c r="EP14" s="58">
        <v>7</v>
      </c>
      <c r="EQ14" s="58">
        <v>5</v>
      </c>
      <c r="ER14" s="58">
        <v>5</v>
      </c>
      <c r="ES14" s="58">
        <v>2</v>
      </c>
      <c r="ET14" s="58">
        <v>6</v>
      </c>
      <c r="EU14" s="58">
        <v>10</v>
      </c>
      <c r="EV14" s="58">
        <v>10</v>
      </c>
      <c r="EW14" s="58">
        <v>9</v>
      </c>
      <c r="EX14" s="58">
        <v>11</v>
      </c>
      <c r="EY14" s="58">
        <v>12</v>
      </c>
      <c r="EZ14" s="58">
        <v>12</v>
      </c>
      <c r="FA14" s="58">
        <v>9</v>
      </c>
      <c r="FB14" s="58">
        <v>9</v>
      </c>
      <c r="FC14" s="58">
        <v>11</v>
      </c>
      <c r="FD14" s="58">
        <v>9</v>
      </c>
      <c r="FE14" s="58">
        <v>5</v>
      </c>
      <c r="FF14" s="58">
        <v>6</v>
      </c>
      <c r="FG14" s="58">
        <v>8</v>
      </c>
      <c r="FH14" s="58">
        <v>4</v>
      </c>
      <c r="FI14" s="58">
        <v>4</v>
      </c>
      <c r="FJ14" s="58">
        <v>4</v>
      </c>
      <c r="FK14">
        <v>9</v>
      </c>
      <c r="FL14" s="58">
        <v>15</v>
      </c>
      <c r="FM14" s="58">
        <v>21</v>
      </c>
      <c r="FN14" s="58">
        <v>7</v>
      </c>
    </row>
    <row r="15" spans="1:170" x14ac:dyDescent="0.3">
      <c r="A15" s="61" t="s">
        <v>98</v>
      </c>
      <c r="B15" s="61">
        <f>SUM(B11:B14)</f>
        <v>16</v>
      </c>
      <c r="C15" s="61">
        <f t="shared" ref="C15:BD15" si="1">SUM(C11:C14)</f>
        <v>28</v>
      </c>
      <c r="D15" s="61">
        <f t="shared" si="1"/>
        <v>30</v>
      </c>
      <c r="E15" s="61">
        <f t="shared" si="1"/>
        <v>27</v>
      </c>
      <c r="F15" s="61">
        <f t="shared" si="1"/>
        <v>19</v>
      </c>
      <c r="G15" s="61">
        <f t="shared" si="1"/>
        <v>29</v>
      </c>
      <c r="H15" s="61">
        <f t="shared" si="1"/>
        <v>27</v>
      </c>
      <c r="I15" s="61">
        <f t="shared" si="1"/>
        <v>15</v>
      </c>
      <c r="J15" s="61">
        <f t="shared" si="1"/>
        <v>17</v>
      </c>
      <c r="K15" s="61">
        <f t="shared" si="1"/>
        <v>22</v>
      </c>
      <c r="L15" s="61">
        <f t="shared" si="1"/>
        <v>13</v>
      </c>
      <c r="M15" s="61">
        <f t="shared" si="1"/>
        <v>22</v>
      </c>
      <c r="N15" s="61">
        <f t="shared" si="1"/>
        <v>13</v>
      </c>
      <c r="O15" s="61">
        <f t="shared" si="1"/>
        <v>10</v>
      </c>
      <c r="P15" s="61">
        <f t="shared" si="1"/>
        <v>23</v>
      </c>
      <c r="Q15" s="61">
        <f t="shared" si="1"/>
        <v>26</v>
      </c>
      <c r="R15" s="61">
        <f t="shared" si="1"/>
        <v>18</v>
      </c>
      <c r="S15" s="61">
        <f t="shared" si="1"/>
        <v>19</v>
      </c>
      <c r="T15" s="61">
        <f t="shared" si="1"/>
        <v>19</v>
      </c>
      <c r="U15" s="61">
        <f t="shared" si="1"/>
        <v>18</v>
      </c>
      <c r="V15" s="61">
        <f t="shared" si="1"/>
        <v>15</v>
      </c>
      <c r="W15" s="61">
        <f t="shared" si="1"/>
        <v>13</v>
      </c>
      <c r="X15" s="61">
        <f t="shared" si="1"/>
        <v>17</v>
      </c>
      <c r="Y15" s="61">
        <f t="shared" si="1"/>
        <v>16</v>
      </c>
      <c r="Z15" s="61">
        <f t="shared" si="1"/>
        <v>24</v>
      </c>
      <c r="AA15" s="61">
        <f t="shared" si="1"/>
        <v>21</v>
      </c>
      <c r="AB15" s="61">
        <f t="shared" si="1"/>
        <v>52</v>
      </c>
      <c r="AC15" s="61">
        <f>SUM(AC12:AC14)</f>
        <v>26</v>
      </c>
      <c r="AD15" s="61">
        <f t="shared" si="1"/>
        <v>29</v>
      </c>
      <c r="AE15" s="61">
        <f t="shared" si="1"/>
        <v>19</v>
      </c>
      <c r="AF15" s="61">
        <f t="shared" si="1"/>
        <v>30</v>
      </c>
      <c r="AG15" s="61">
        <f t="shared" si="1"/>
        <v>31</v>
      </c>
      <c r="AH15" s="61">
        <f t="shared" si="1"/>
        <v>24</v>
      </c>
      <c r="AI15" s="61">
        <f t="shared" si="1"/>
        <v>23</v>
      </c>
      <c r="AJ15" s="61">
        <f t="shared" si="1"/>
        <v>43</v>
      </c>
      <c r="AK15" s="61">
        <f t="shared" si="1"/>
        <v>36</v>
      </c>
      <c r="AL15" s="61">
        <f t="shared" si="1"/>
        <v>32</v>
      </c>
      <c r="AM15" s="61">
        <f t="shared" si="1"/>
        <v>14</v>
      </c>
      <c r="AN15" s="61">
        <f t="shared" si="1"/>
        <v>26</v>
      </c>
      <c r="AO15" s="61">
        <f t="shared" si="1"/>
        <v>13</v>
      </c>
      <c r="AP15" s="61">
        <f t="shared" si="1"/>
        <v>22</v>
      </c>
      <c r="AQ15" s="61">
        <f t="shared" si="1"/>
        <v>23</v>
      </c>
      <c r="AR15" s="61">
        <f t="shared" si="1"/>
        <v>24</v>
      </c>
      <c r="AS15" s="61">
        <f t="shared" si="1"/>
        <v>33</v>
      </c>
      <c r="AT15" s="61">
        <f t="shared" si="1"/>
        <v>27</v>
      </c>
      <c r="AU15" s="61">
        <f t="shared" si="1"/>
        <v>36</v>
      </c>
      <c r="AV15" s="61">
        <f t="shared" si="1"/>
        <v>33</v>
      </c>
      <c r="AW15" s="61">
        <f t="shared" si="1"/>
        <v>41</v>
      </c>
      <c r="AX15" s="61">
        <f t="shared" si="1"/>
        <v>19</v>
      </c>
      <c r="AY15" s="61">
        <f t="shared" si="1"/>
        <v>72</v>
      </c>
      <c r="AZ15" s="61">
        <f t="shared" si="1"/>
        <v>46</v>
      </c>
      <c r="BA15" s="61">
        <f t="shared" si="1"/>
        <v>17</v>
      </c>
      <c r="BB15" s="61">
        <f t="shared" si="1"/>
        <v>36</v>
      </c>
      <c r="BC15" s="61">
        <f t="shared" si="1"/>
        <v>32</v>
      </c>
      <c r="BD15" s="61">
        <f t="shared" si="1"/>
        <v>27</v>
      </c>
      <c r="BE15" s="91">
        <v>20</v>
      </c>
      <c r="BF15" s="91">
        <v>36</v>
      </c>
      <c r="BG15" s="91">
        <v>36</v>
      </c>
      <c r="BH15" s="91">
        <v>38</v>
      </c>
      <c r="BI15" s="91">
        <v>27</v>
      </c>
      <c r="BJ15" s="97">
        <v>43</v>
      </c>
      <c r="BK15" s="97">
        <v>36</v>
      </c>
      <c r="BL15" s="97">
        <v>38</v>
      </c>
      <c r="BM15" s="97">
        <f>SUM(BM11:BM14)</f>
        <v>24</v>
      </c>
      <c r="BN15" s="97">
        <f>SUM(BN11:BN14)</f>
        <v>24</v>
      </c>
      <c r="BO15" s="97">
        <f>SUM(BO11:BO14)</f>
        <v>36</v>
      </c>
      <c r="BP15" s="97">
        <f>SUM(BP11:BP14)</f>
        <v>41</v>
      </c>
      <c r="BQ15" s="97">
        <v>31</v>
      </c>
      <c r="BR15" s="97">
        <v>56</v>
      </c>
      <c r="BS15" s="97">
        <v>40</v>
      </c>
      <c r="BT15" s="97">
        <v>36</v>
      </c>
      <c r="BU15" s="97">
        <v>44</v>
      </c>
      <c r="BV15" s="97">
        <v>29</v>
      </c>
      <c r="BW15" s="97">
        <v>50</v>
      </c>
      <c r="BX15" s="97">
        <v>47</v>
      </c>
      <c r="BY15" s="97">
        <v>36</v>
      </c>
      <c r="BZ15" s="97">
        <v>46</v>
      </c>
      <c r="CA15" s="97">
        <v>44</v>
      </c>
      <c r="CB15" s="97">
        <v>46</v>
      </c>
      <c r="CC15" s="97">
        <v>46</v>
      </c>
      <c r="CD15" s="97">
        <v>39</v>
      </c>
      <c r="CE15" s="97">
        <v>23</v>
      </c>
      <c r="CF15" s="97">
        <v>29</v>
      </c>
      <c r="CG15" s="97">
        <v>40</v>
      </c>
      <c r="CH15" s="63">
        <v>26</v>
      </c>
      <c r="CI15" s="63">
        <v>26</v>
      </c>
      <c r="CJ15" s="63">
        <v>20</v>
      </c>
      <c r="CK15" s="63">
        <v>42</v>
      </c>
      <c r="CL15" s="63">
        <v>24</v>
      </c>
      <c r="CM15" s="63">
        <v>58</v>
      </c>
      <c r="CN15" s="63">
        <v>14</v>
      </c>
      <c r="CO15" s="63">
        <v>73</v>
      </c>
      <c r="CP15" s="63">
        <v>28</v>
      </c>
      <c r="CQ15" s="63">
        <v>70</v>
      </c>
      <c r="CR15" s="63">
        <v>74</v>
      </c>
      <c r="CS15" s="63">
        <v>19</v>
      </c>
      <c r="CT15" s="63">
        <v>49</v>
      </c>
      <c r="CU15" s="63">
        <v>48</v>
      </c>
      <c r="CV15" s="63">
        <v>49</v>
      </c>
      <c r="CW15" s="63">
        <v>26</v>
      </c>
      <c r="CX15" s="63">
        <v>43</v>
      </c>
      <c r="CY15" s="63">
        <v>45</v>
      </c>
      <c r="CZ15" s="63">
        <v>57</v>
      </c>
      <c r="DA15" s="63">
        <v>64</v>
      </c>
      <c r="DB15" s="63">
        <v>55</v>
      </c>
      <c r="DC15" s="63">
        <v>27</v>
      </c>
      <c r="DD15" s="63">
        <v>25</v>
      </c>
      <c r="DE15" s="63">
        <v>9</v>
      </c>
      <c r="DF15" s="63">
        <v>37</v>
      </c>
      <c r="DG15" s="63">
        <v>37</v>
      </c>
      <c r="DH15" s="63">
        <v>38</v>
      </c>
      <c r="DI15" s="63">
        <v>44</v>
      </c>
      <c r="DJ15" s="63">
        <v>31</v>
      </c>
      <c r="DK15" s="63">
        <v>60</v>
      </c>
      <c r="DL15" s="63">
        <v>42</v>
      </c>
      <c r="DM15" s="63">
        <v>64</v>
      </c>
      <c r="DN15" s="63">
        <v>28</v>
      </c>
      <c r="DO15" s="63">
        <v>38</v>
      </c>
      <c r="DP15" s="63">
        <v>42</v>
      </c>
      <c r="DQ15" s="63">
        <v>58</v>
      </c>
      <c r="DR15" s="63">
        <v>65</v>
      </c>
      <c r="DS15" s="63">
        <v>51</v>
      </c>
      <c r="DT15" s="63">
        <v>153</v>
      </c>
      <c r="DU15" s="63">
        <v>62</v>
      </c>
      <c r="DV15" s="63">
        <v>55</v>
      </c>
      <c r="DW15" s="63">
        <v>54</v>
      </c>
      <c r="DX15" s="63">
        <v>59</v>
      </c>
      <c r="DY15" s="63">
        <v>50</v>
      </c>
      <c r="DZ15" s="63">
        <v>47</v>
      </c>
      <c r="EA15" s="63">
        <v>44</v>
      </c>
      <c r="EB15" s="63">
        <v>48</v>
      </c>
      <c r="EC15" s="63">
        <v>57</v>
      </c>
      <c r="ED15" s="63">
        <v>62</v>
      </c>
      <c r="EE15" s="63">
        <v>44</v>
      </c>
      <c r="EF15" s="63">
        <v>45</v>
      </c>
      <c r="EG15" s="63">
        <v>73</v>
      </c>
      <c r="EH15" s="63">
        <v>46</v>
      </c>
      <c r="EI15" s="63">
        <v>44</v>
      </c>
      <c r="EJ15" s="63">
        <v>34</v>
      </c>
      <c r="EK15" s="63">
        <v>55</v>
      </c>
      <c r="EL15" s="63">
        <v>51</v>
      </c>
      <c r="EM15" s="63">
        <v>15</v>
      </c>
      <c r="EN15" s="63">
        <v>24</v>
      </c>
      <c r="EO15" s="63">
        <v>44</v>
      </c>
      <c r="EP15" s="63">
        <v>39</v>
      </c>
      <c r="EQ15" s="63">
        <v>47</v>
      </c>
      <c r="ER15" s="63">
        <v>47</v>
      </c>
      <c r="ES15" s="63">
        <v>62</v>
      </c>
      <c r="ET15" s="63">
        <v>56</v>
      </c>
      <c r="EU15" s="63">
        <v>86</v>
      </c>
      <c r="EV15" s="63">
        <v>55</v>
      </c>
      <c r="EW15" s="63">
        <v>69</v>
      </c>
      <c r="EX15" s="63">
        <v>56</v>
      </c>
      <c r="EY15" s="63">
        <v>53</v>
      </c>
      <c r="EZ15" s="63">
        <v>40</v>
      </c>
      <c r="FA15" s="63">
        <v>41</v>
      </c>
      <c r="FB15" s="63">
        <v>44</v>
      </c>
      <c r="FC15" s="63">
        <v>65</v>
      </c>
      <c r="FD15" s="63">
        <v>74</v>
      </c>
      <c r="FE15" s="63">
        <v>36</v>
      </c>
      <c r="FF15" s="63">
        <v>63</v>
      </c>
      <c r="FG15" s="63">
        <v>63</v>
      </c>
      <c r="FH15" s="63">
        <v>61</v>
      </c>
      <c r="FI15" s="63">
        <v>43</v>
      </c>
      <c r="FJ15" s="63">
        <v>47</v>
      </c>
      <c r="FK15" s="63">
        <v>64</v>
      </c>
      <c r="FL15" s="63">
        <v>70</v>
      </c>
      <c r="FM15" s="63">
        <v>83</v>
      </c>
      <c r="FN15" s="63">
        <v>40</v>
      </c>
    </row>
    <row r="16" spans="1:170" x14ac:dyDescent="0.3">
      <c r="B16" s="91"/>
      <c r="C16" s="91"/>
      <c r="I16" s="91"/>
      <c r="K16" s="91"/>
    </row>
    <row r="17" spans="1:11" x14ac:dyDescent="0.3">
      <c r="A17" s="102"/>
      <c r="B17" s="113"/>
      <c r="C17" s="91"/>
      <c r="H17" s="102"/>
      <c r="I17" s="91"/>
      <c r="K17" s="91"/>
    </row>
    <row r="18" spans="1:11" x14ac:dyDescent="0.3">
      <c r="B18" s="113"/>
      <c r="C18" s="91"/>
      <c r="I18" s="91"/>
      <c r="K18" s="91"/>
    </row>
    <row r="19" spans="1:11" x14ac:dyDescent="0.3">
      <c r="B19" s="113"/>
      <c r="C19" s="91"/>
      <c r="I19" s="91"/>
      <c r="K19" s="91"/>
    </row>
    <row r="20" spans="1:11" x14ac:dyDescent="0.3">
      <c r="B20" s="113"/>
      <c r="C20" s="91"/>
      <c r="I20" s="91"/>
      <c r="K20" s="91"/>
    </row>
  </sheetData>
  <mergeCells count="1">
    <mergeCell ref="B17:B20"/>
  </mergeCells>
  <phoneticPr fontId="7" type="noConversion"/>
  <pageMargins left="0.7" right="0.7" top="0.75" bottom="0.75" header="0.3" footer="0.3"/>
  <pageSetup orientation="portrait" horizontalDpi="90" verticalDpi="9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7B94B-B4A2-4939-B2A9-3E2A70DBEFD9}">
  <dimension ref="A1:EP14"/>
  <sheetViews>
    <sheetView topLeftCell="A23" workbookViewId="0">
      <pane xSplit="1" topLeftCell="DX1" activePane="topRight" state="frozen"/>
      <selection pane="topRight" activeCell="EE16" sqref="EE16"/>
    </sheetView>
  </sheetViews>
  <sheetFormatPr defaultColWidth="8.90625" defaultRowHeight="13" x14ac:dyDescent="0.3"/>
  <cols>
    <col min="1" max="1" width="21.08984375" style="58" customWidth="1"/>
    <col min="2" max="2" width="14.453125" style="91" bestFit="1" customWidth="1"/>
    <col min="3" max="14" width="8.90625" style="58"/>
    <col min="15" max="18" width="9.08984375" style="91"/>
    <col min="19" max="16384" width="8.90625" style="58"/>
  </cols>
  <sheetData>
    <row r="1" spans="1:146" x14ac:dyDescent="0.3">
      <c r="BP1" s="59">
        <v>2023</v>
      </c>
      <c r="DP1" s="59">
        <v>2024</v>
      </c>
    </row>
    <row r="2" spans="1:146" x14ac:dyDescent="0.3">
      <c r="A2" s="67" t="s">
        <v>159</v>
      </c>
      <c r="B2" s="60" t="s">
        <v>67</v>
      </c>
      <c r="C2" s="60" t="s">
        <v>68</v>
      </c>
      <c r="D2" s="60" t="s">
        <v>69</v>
      </c>
      <c r="E2" s="60" t="s">
        <v>70</v>
      </c>
      <c r="F2" s="60" t="s">
        <v>71</v>
      </c>
      <c r="G2" s="60" t="s">
        <v>72</v>
      </c>
      <c r="H2" s="60" t="s">
        <v>73</v>
      </c>
      <c r="I2" s="60" t="s">
        <v>74</v>
      </c>
      <c r="J2" s="60" t="s">
        <v>75</v>
      </c>
      <c r="K2" s="60" t="s">
        <v>76</v>
      </c>
      <c r="L2" s="60" t="s">
        <v>77</v>
      </c>
      <c r="M2" s="60" t="s">
        <v>78</v>
      </c>
      <c r="N2" s="60" t="s">
        <v>79</v>
      </c>
      <c r="O2" s="60" t="s">
        <v>80</v>
      </c>
      <c r="P2" s="93" t="s">
        <v>81</v>
      </c>
      <c r="Q2" s="93" t="s">
        <v>82</v>
      </c>
      <c r="R2" s="93" t="s">
        <v>83</v>
      </c>
      <c r="S2" s="93" t="s">
        <v>84</v>
      </c>
      <c r="T2" s="93" t="s">
        <v>85</v>
      </c>
      <c r="U2" s="93" t="s">
        <v>86</v>
      </c>
      <c r="V2" s="93" t="s">
        <v>87</v>
      </c>
      <c r="W2" s="93" t="s">
        <v>88</v>
      </c>
      <c r="X2" s="93" t="s">
        <v>89</v>
      </c>
      <c r="Y2" s="93" t="s">
        <v>90</v>
      </c>
      <c r="Z2" s="93" t="s">
        <v>91</v>
      </c>
      <c r="AA2" s="93" t="s">
        <v>92</v>
      </c>
      <c r="AB2" s="93" t="s">
        <v>93</v>
      </c>
      <c r="AC2" s="93" t="s">
        <v>94</v>
      </c>
      <c r="AD2" s="93" t="s">
        <v>95</v>
      </c>
      <c r="AE2" s="93" t="s">
        <v>96</v>
      </c>
      <c r="AF2" s="93" t="s">
        <v>97</v>
      </c>
      <c r="AG2" s="93" t="s">
        <v>46</v>
      </c>
      <c r="AH2" s="93" t="s">
        <v>47</v>
      </c>
      <c r="AI2" s="93" t="s">
        <v>48</v>
      </c>
      <c r="AJ2" s="93" t="s">
        <v>49</v>
      </c>
      <c r="AK2" s="93" t="s">
        <v>50</v>
      </c>
      <c r="AL2" s="93" t="s">
        <v>51</v>
      </c>
      <c r="AM2" s="93" t="s">
        <v>52</v>
      </c>
      <c r="AN2" s="93" t="s">
        <v>53</v>
      </c>
      <c r="AO2" s="93" t="s">
        <v>54</v>
      </c>
      <c r="AP2" s="93" t="s">
        <v>55</v>
      </c>
      <c r="AQ2" s="93" t="s">
        <v>56</v>
      </c>
      <c r="AR2" s="93" t="s">
        <v>57</v>
      </c>
      <c r="AS2" s="93" t="s">
        <v>58</v>
      </c>
      <c r="AT2" s="93" t="s">
        <v>59</v>
      </c>
      <c r="AU2" s="93" t="s">
        <v>60</v>
      </c>
      <c r="AV2" s="93" t="s">
        <v>61</v>
      </c>
      <c r="AW2" s="93" t="s">
        <v>62</v>
      </c>
      <c r="AX2" s="93" t="s">
        <v>63</v>
      </c>
      <c r="AY2" s="93" t="s">
        <v>64</v>
      </c>
      <c r="AZ2" s="93" t="s">
        <v>65</v>
      </c>
      <c r="BA2" s="93" t="s">
        <v>66</v>
      </c>
      <c r="BB2" s="93" t="s">
        <v>67</v>
      </c>
      <c r="BC2" s="93" t="s">
        <v>68</v>
      </c>
      <c r="BD2" s="93" t="s">
        <v>69</v>
      </c>
      <c r="BE2" s="93" t="s">
        <v>70</v>
      </c>
      <c r="BF2" s="93" t="s">
        <v>71</v>
      </c>
      <c r="BG2" s="93" t="s">
        <v>72</v>
      </c>
      <c r="BH2" s="93" t="s">
        <v>73</v>
      </c>
      <c r="BI2" s="93" t="s">
        <v>74</v>
      </c>
      <c r="BJ2" s="93" t="s">
        <v>75</v>
      </c>
      <c r="BK2" s="93" t="s">
        <v>76</v>
      </c>
      <c r="BL2" s="93" t="s">
        <v>77</v>
      </c>
      <c r="BM2" s="93" t="s">
        <v>78</v>
      </c>
      <c r="BN2" s="93" t="s">
        <v>79</v>
      </c>
      <c r="BO2" s="93" t="s">
        <v>80</v>
      </c>
      <c r="BP2" s="93" t="s">
        <v>210</v>
      </c>
      <c r="BQ2" s="93" t="s">
        <v>211</v>
      </c>
      <c r="BR2" s="93" t="s">
        <v>212</v>
      </c>
      <c r="BS2" s="93" t="s">
        <v>213</v>
      </c>
      <c r="BT2" s="93" t="s">
        <v>214</v>
      </c>
      <c r="BU2" s="93" t="s">
        <v>216</v>
      </c>
      <c r="BV2" s="93" t="s">
        <v>217</v>
      </c>
      <c r="BW2" s="93" t="s">
        <v>218</v>
      </c>
      <c r="BX2" s="93" t="s">
        <v>220</v>
      </c>
      <c r="BY2" s="93" t="s">
        <v>90</v>
      </c>
      <c r="BZ2" s="93" t="s">
        <v>91</v>
      </c>
      <c r="CA2" s="93" t="s">
        <v>92</v>
      </c>
      <c r="CB2" s="93" t="s">
        <v>93</v>
      </c>
      <c r="CC2" s="93" t="s">
        <v>94</v>
      </c>
      <c r="CD2" s="93" t="s">
        <v>95</v>
      </c>
      <c r="CE2" s="93" t="s">
        <v>96</v>
      </c>
      <c r="CF2" s="93" t="s">
        <v>97</v>
      </c>
      <c r="CG2" s="93" t="s">
        <v>46</v>
      </c>
      <c r="CH2" s="93" t="s">
        <v>47</v>
      </c>
      <c r="CI2" s="93" t="s">
        <v>48</v>
      </c>
      <c r="CJ2" s="93" t="s">
        <v>49</v>
      </c>
      <c r="CK2" s="93" t="s">
        <v>50</v>
      </c>
      <c r="CL2" s="93" t="s">
        <v>51</v>
      </c>
      <c r="CM2" s="93" t="s">
        <v>52</v>
      </c>
      <c r="CN2" s="93" t="s">
        <v>53</v>
      </c>
      <c r="CO2" s="93" t="s">
        <v>54</v>
      </c>
      <c r="CP2" s="93" t="s">
        <v>55</v>
      </c>
      <c r="CQ2" s="93" t="s">
        <v>56</v>
      </c>
      <c r="CR2" s="93" t="s">
        <v>57</v>
      </c>
      <c r="CS2" s="93" t="s">
        <v>58</v>
      </c>
      <c r="CT2" s="93" t="s">
        <v>59</v>
      </c>
      <c r="CU2" s="93" t="s">
        <v>60</v>
      </c>
      <c r="CV2" s="93" t="s">
        <v>61</v>
      </c>
      <c r="CW2" s="93" t="s">
        <v>62</v>
      </c>
      <c r="CX2" s="93" t="s">
        <v>63</v>
      </c>
      <c r="CY2" s="93" t="s">
        <v>64</v>
      </c>
      <c r="CZ2" s="93" t="s">
        <v>65</v>
      </c>
      <c r="DA2" s="93" t="s">
        <v>66</v>
      </c>
      <c r="DB2" s="93" t="s">
        <v>67</v>
      </c>
      <c r="DC2" s="93" t="s">
        <v>68</v>
      </c>
      <c r="DD2" s="93" t="s">
        <v>69</v>
      </c>
      <c r="DE2" s="93" t="s">
        <v>70</v>
      </c>
      <c r="DF2" s="93" t="s">
        <v>71</v>
      </c>
      <c r="DG2" s="93" t="s">
        <v>72</v>
      </c>
      <c r="DH2" s="93" t="s">
        <v>73</v>
      </c>
      <c r="DI2" s="93" t="s">
        <v>74</v>
      </c>
      <c r="DJ2" s="93" t="s">
        <v>75</v>
      </c>
      <c r="DK2" s="93" t="s">
        <v>76</v>
      </c>
      <c r="DL2" s="93" t="s">
        <v>77</v>
      </c>
      <c r="DM2" s="93" t="s">
        <v>78</v>
      </c>
      <c r="DN2" s="93" t="s">
        <v>79</v>
      </c>
      <c r="DO2" s="93" t="s">
        <v>80</v>
      </c>
      <c r="DP2" s="93" t="s">
        <v>210</v>
      </c>
      <c r="DQ2" s="93" t="s">
        <v>211</v>
      </c>
      <c r="DR2" s="93" t="s">
        <v>212</v>
      </c>
      <c r="DS2" s="93" t="s">
        <v>213</v>
      </c>
      <c r="DT2" s="93" t="s">
        <v>214</v>
      </c>
      <c r="DU2" s="93" t="s">
        <v>216</v>
      </c>
      <c r="DV2" s="93" t="s">
        <v>217</v>
      </c>
      <c r="DW2" s="93" t="s">
        <v>218</v>
      </c>
      <c r="DX2" s="93" t="s">
        <v>220</v>
      </c>
      <c r="DY2" s="93" t="s">
        <v>90</v>
      </c>
      <c r="DZ2" s="93" t="s">
        <v>91</v>
      </c>
      <c r="EA2" s="93" t="s">
        <v>92</v>
      </c>
      <c r="EB2" s="93" t="s">
        <v>93</v>
      </c>
      <c r="EC2" s="93" t="s">
        <v>94</v>
      </c>
      <c r="ED2" s="93" t="s">
        <v>95</v>
      </c>
      <c r="EE2" s="93" t="s">
        <v>96</v>
      </c>
      <c r="EF2" s="93" t="s">
        <v>97</v>
      </c>
      <c r="EG2" s="93" t="s">
        <v>46</v>
      </c>
      <c r="EH2" s="93" t="s">
        <v>47</v>
      </c>
      <c r="EI2" s="93" t="s">
        <v>48</v>
      </c>
      <c r="EJ2" s="93" t="s">
        <v>49</v>
      </c>
      <c r="EK2" s="93" t="s">
        <v>50</v>
      </c>
      <c r="EL2" s="93" t="s">
        <v>51</v>
      </c>
      <c r="EM2" s="93" t="s">
        <v>52</v>
      </c>
      <c r="EN2" s="93" t="s">
        <v>53</v>
      </c>
      <c r="EO2" s="93" t="s">
        <v>54</v>
      </c>
      <c r="EP2" s="93" t="s">
        <v>55</v>
      </c>
    </row>
    <row r="3" spans="1:146" x14ac:dyDescent="0.3">
      <c r="A3" s="66" t="s">
        <v>160</v>
      </c>
      <c r="B3" s="61">
        <v>54</v>
      </c>
      <c r="C3" s="61">
        <v>96</v>
      </c>
      <c r="D3" s="58">
        <v>84</v>
      </c>
      <c r="E3" s="58">
        <v>136</v>
      </c>
      <c r="F3" s="58">
        <v>190</v>
      </c>
      <c r="G3" s="58">
        <v>92</v>
      </c>
      <c r="H3" s="58">
        <v>139</v>
      </c>
      <c r="I3" s="91">
        <v>95</v>
      </c>
      <c r="J3" s="91">
        <v>52</v>
      </c>
      <c r="K3" s="91">
        <v>81</v>
      </c>
      <c r="L3" s="91">
        <v>119</v>
      </c>
      <c r="M3" s="91">
        <v>48</v>
      </c>
      <c r="N3" s="91">
        <v>50</v>
      </c>
      <c r="O3" s="91">
        <v>20</v>
      </c>
      <c r="P3" s="91">
        <v>58</v>
      </c>
      <c r="Q3" s="91">
        <v>149</v>
      </c>
      <c r="R3" s="91">
        <v>190</v>
      </c>
      <c r="S3" s="91">
        <v>152</v>
      </c>
      <c r="T3" s="91">
        <v>96</v>
      </c>
      <c r="U3" s="91">
        <v>83</v>
      </c>
      <c r="V3" s="91">
        <v>63</v>
      </c>
      <c r="W3" s="91">
        <v>73</v>
      </c>
      <c r="X3" s="91">
        <v>72</v>
      </c>
      <c r="Y3" s="91">
        <v>80</v>
      </c>
      <c r="Z3" s="91">
        <v>71</v>
      </c>
      <c r="AA3" s="91">
        <v>87</v>
      </c>
      <c r="AB3" s="91">
        <v>67</v>
      </c>
      <c r="AC3" s="91">
        <v>52</v>
      </c>
      <c r="AD3" s="91">
        <v>186</v>
      </c>
      <c r="AE3" s="91">
        <v>86</v>
      </c>
      <c r="AF3" s="91">
        <v>49</v>
      </c>
      <c r="AG3" s="91">
        <v>70</v>
      </c>
      <c r="AH3" s="91">
        <v>73</v>
      </c>
      <c r="AI3" s="91">
        <v>53</v>
      </c>
      <c r="AJ3" s="91">
        <v>124</v>
      </c>
      <c r="AK3" s="91">
        <v>41</v>
      </c>
      <c r="AL3" s="91">
        <v>78</v>
      </c>
      <c r="AM3" s="91">
        <v>119</v>
      </c>
      <c r="AN3" s="91">
        <v>117</v>
      </c>
      <c r="AO3" s="91">
        <v>81</v>
      </c>
      <c r="AP3" s="91">
        <v>133</v>
      </c>
      <c r="AQ3" s="91">
        <v>125</v>
      </c>
      <c r="AR3" s="91">
        <v>191</v>
      </c>
      <c r="AS3" s="91">
        <v>99</v>
      </c>
      <c r="AT3" s="91">
        <v>118</v>
      </c>
      <c r="AU3" s="91">
        <v>190</v>
      </c>
      <c r="AV3" s="91">
        <v>125</v>
      </c>
      <c r="AW3" s="91">
        <v>147</v>
      </c>
      <c r="AX3" s="91">
        <v>161</v>
      </c>
      <c r="AY3" s="91">
        <v>75</v>
      </c>
      <c r="AZ3" s="91">
        <v>124</v>
      </c>
      <c r="BA3" s="91">
        <v>70</v>
      </c>
      <c r="BB3" s="91">
        <v>125</v>
      </c>
      <c r="BC3" s="91">
        <v>134</v>
      </c>
      <c r="BD3" s="91">
        <v>82</v>
      </c>
      <c r="BE3" s="91">
        <v>171</v>
      </c>
      <c r="BF3" s="91">
        <v>95</v>
      </c>
      <c r="BG3" s="91">
        <v>118</v>
      </c>
      <c r="BH3" s="91">
        <v>146</v>
      </c>
      <c r="BI3" s="91">
        <v>141</v>
      </c>
      <c r="BJ3" s="58">
        <v>58</v>
      </c>
      <c r="BK3" s="58">
        <v>125</v>
      </c>
      <c r="BL3" s="58">
        <v>103</v>
      </c>
      <c r="BM3" s="58">
        <v>100</v>
      </c>
      <c r="BN3" s="58">
        <v>66</v>
      </c>
      <c r="BO3" s="58">
        <v>77</v>
      </c>
      <c r="BP3" s="58">
        <v>104</v>
      </c>
      <c r="BQ3" s="58">
        <v>82</v>
      </c>
      <c r="BR3" s="58">
        <v>105</v>
      </c>
      <c r="BS3" s="58">
        <v>125</v>
      </c>
      <c r="BT3" s="58">
        <v>158</v>
      </c>
      <c r="BU3" s="58">
        <v>85</v>
      </c>
      <c r="BV3" s="58">
        <v>80</v>
      </c>
      <c r="BW3" s="58">
        <v>96</v>
      </c>
      <c r="BX3" s="58">
        <v>60</v>
      </c>
      <c r="BY3" s="58">
        <v>77</v>
      </c>
      <c r="BZ3" s="58">
        <v>96</v>
      </c>
      <c r="CA3" s="58">
        <v>118</v>
      </c>
      <c r="CB3" s="58">
        <v>50</v>
      </c>
      <c r="CC3" s="58">
        <v>149</v>
      </c>
      <c r="CD3" s="58">
        <v>166</v>
      </c>
      <c r="CE3" s="58">
        <v>173</v>
      </c>
      <c r="CF3" s="58">
        <v>71</v>
      </c>
      <c r="CG3" s="58">
        <v>100</v>
      </c>
      <c r="CH3" s="58">
        <v>157</v>
      </c>
      <c r="CI3" s="58">
        <v>161</v>
      </c>
      <c r="CJ3" s="58">
        <v>195</v>
      </c>
      <c r="CK3" s="58">
        <v>82</v>
      </c>
      <c r="CL3" s="58">
        <v>100</v>
      </c>
      <c r="CM3" s="58">
        <v>186</v>
      </c>
      <c r="CN3" s="58">
        <v>143</v>
      </c>
      <c r="CO3" s="58">
        <v>68</v>
      </c>
      <c r="CP3" s="58">
        <v>112</v>
      </c>
      <c r="CQ3" s="58">
        <v>133</v>
      </c>
      <c r="CR3" s="58">
        <v>223</v>
      </c>
      <c r="CS3" s="58">
        <v>98</v>
      </c>
      <c r="CT3" s="58">
        <v>94</v>
      </c>
      <c r="CU3" s="58">
        <v>120</v>
      </c>
      <c r="CV3" s="58">
        <v>206</v>
      </c>
      <c r="CW3" s="58">
        <v>171</v>
      </c>
      <c r="CX3" s="58">
        <v>77</v>
      </c>
      <c r="CY3" s="58">
        <v>110</v>
      </c>
      <c r="CZ3" s="58">
        <v>197</v>
      </c>
      <c r="DA3" s="58">
        <v>139</v>
      </c>
      <c r="DB3" s="58">
        <v>62</v>
      </c>
      <c r="DC3" s="58">
        <v>100</v>
      </c>
      <c r="DD3" s="58">
        <v>177</v>
      </c>
      <c r="DE3" s="58">
        <v>94</v>
      </c>
      <c r="DF3" s="58">
        <v>127</v>
      </c>
      <c r="DG3" s="58">
        <v>55</v>
      </c>
      <c r="DH3" s="58">
        <v>125</v>
      </c>
      <c r="DI3" s="58">
        <v>93</v>
      </c>
      <c r="DJ3" s="58">
        <v>155</v>
      </c>
      <c r="DK3" s="58">
        <v>77</v>
      </c>
      <c r="DL3" s="58">
        <v>65</v>
      </c>
      <c r="DM3" s="58">
        <v>149</v>
      </c>
      <c r="DN3" s="58">
        <v>263</v>
      </c>
      <c r="DO3" s="58">
        <v>134</v>
      </c>
      <c r="DP3" s="58">
        <v>84</v>
      </c>
      <c r="DQ3" s="58">
        <v>207</v>
      </c>
      <c r="DR3" s="58">
        <v>219</v>
      </c>
      <c r="DS3" s="58">
        <v>376</v>
      </c>
      <c r="DT3" s="58">
        <v>758</v>
      </c>
      <c r="DU3" s="58">
        <v>912</v>
      </c>
      <c r="DV3" s="58">
        <v>979</v>
      </c>
      <c r="DW3" s="58">
        <v>1342</v>
      </c>
      <c r="DX3" s="58">
        <v>492</v>
      </c>
      <c r="DY3" s="58">
        <v>832</v>
      </c>
      <c r="DZ3" s="58">
        <v>721</v>
      </c>
      <c r="EA3" s="58">
        <v>677</v>
      </c>
      <c r="EB3" s="58">
        <v>322</v>
      </c>
      <c r="EC3" s="58">
        <v>362</v>
      </c>
      <c r="ED3" s="58">
        <v>662</v>
      </c>
      <c r="EE3" s="58">
        <v>970</v>
      </c>
      <c r="EF3" s="58">
        <v>759</v>
      </c>
      <c r="EG3" s="58">
        <v>574</v>
      </c>
      <c r="EH3" s="58">
        <v>1046</v>
      </c>
      <c r="EI3" s="58">
        <v>1087</v>
      </c>
      <c r="EJ3" s="58">
        <v>1002</v>
      </c>
      <c r="EK3" s="58">
        <v>798</v>
      </c>
      <c r="EL3" s="58">
        <v>901</v>
      </c>
      <c r="EM3" s="58">
        <v>827</v>
      </c>
      <c r="EN3" s="58">
        <v>1422</v>
      </c>
      <c r="EO3" s="58">
        <v>1075</v>
      </c>
      <c r="EP3" s="58">
        <v>639</v>
      </c>
    </row>
    <row r="4" spans="1:146" x14ac:dyDescent="0.3">
      <c r="A4" s="65" t="s">
        <v>219</v>
      </c>
      <c r="B4" s="61">
        <v>42</v>
      </c>
      <c r="C4" s="61">
        <v>49</v>
      </c>
      <c r="D4" s="58">
        <v>82</v>
      </c>
      <c r="E4" s="58">
        <v>97</v>
      </c>
      <c r="F4" s="58">
        <v>119</v>
      </c>
      <c r="G4" s="58">
        <v>53</v>
      </c>
      <c r="H4" s="58">
        <v>71</v>
      </c>
      <c r="I4" s="91">
        <v>96</v>
      </c>
      <c r="J4" s="91">
        <v>54</v>
      </c>
      <c r="K4" s="91">
        <v>72</v>
      </c>
      <c r="L4" s="91">
        <v>64</v>
      </c>
      <c r="M4" s="91">
        <v>74</v>
      </c>
      <c r="N4" s="91">
        <v>60</v>
      </c>
      <c r="O4" s="91">
        <v>137</v>
      </c>
      <c r="P4" s="91">
        <v>93</v>
      </c>
      <c r="Q4" s="91">
        <v>142</v>
      </c>
      <c r="R4" s="91">
        <v>107</v>
      </c>
      <c r="S4" s="91">
        <v>85</v>
      </c>
      <c r="T4" s="91">
        <v>77</v>
      </c>
      <c r="U4" s="91">
        <v>71</v>
      </c>
      <c r="V4" s="91">
        <v>60</v>
      </c>
      <c r="W4" s="91">
        <v>70</v>
      </c>
      <c r="X4" s="91">
        <v>82</v>
      </c>
      <c r="Y4" s="91">
        <v>108</v>
      </c>
      <c r="Z4" s="91">
        <v>105</v>
      </c>
      <c r="AA4" s="91">
        <v>176</v>
      </c>
      <c r="AB4" s="91">
        <v>132</v>
      </c>
      <c r="AC4" s="91">
        <v>162</v>
      </c>
      <c r="AD4" s="91">
        <v>171</v>
      </c>
      <c r="AE4" s="91">
        <v>112</v>
      </c>
      <c r="AF4" s="91">
        <v>91</v>
      </c>
      <c r="AG4" s="91">
        <v>76</v>
      </c>
      <c r="AH4" s="91">
        <v>96</v>
      </c>
      <c r="AI4" s="91">
        <v>80</v>
      </c>
      <c r="AJ4" s="91">
        <v>65</v>
      </c>
      <c r="AK4" s="91">
        <v>48</v>
      </c>
      <c r="AL4" s="91">
        <v>58</v>
      </c>
      <c r="AM4" s="91">
        <v>51</v>
      </c>
      <c r="AN4" s="91">
        <v>62</v>
      </c>
      <c r="AO4" s="91">
        <v>56</v>
      </c>
      <c r="AP4" s="91">
        <v>36</v>
      </c>
      <c r="AQ4" s="91">
        <v>86</v>
      </c>
      <c r="AR4" s="91">
        <v>101</v>
      </c>
      <c r="AS4" s="91">
        <v>62</v>
      </c>
      <c r="AT4" s="91">
        <v>56</v>
      </c>
      <c r="AU4" s="91">
        <v>86</v>
      </c>
      <c r="AV4" s="91">
        <v>45</v>
      </c>
      <c r="AW4" s="91">
        <v>52</v>
      </c>
      <c r="AX4" s="91">
        <v>52</v>
      </c>
      <c r="AY4" s="91">
        <v>127</v>
      </c>
      <c r="AZ4" s="91">
        <v>62</v>
      </c>
      <c r="BA4" s="91">
        <v>63</v>
      </c>
      <c r="BB4" s="91">
        <v>69</v>
      </c>
      <c r="BC4" s="91">
        <v>110</v>
      </c>
      <c r="BD4" s="91">
        <v>99</v>
      </c>
      <c r="BE4" s="91">
        <v>54</v>
      </c>
      <c r="BF4" s="91">
        <v>65</v>
      </c>
      <c r="BG4" s="91">
        <v>136</v>
      </c>
      <c r="BH4" s="91">
        <v>92</v>
      </c>
      <c r="BI4" s="91">
        <v>102</v>
      </c>
      <c r="BJ4" s="58">
        <v>93</v>
      </c>
      <c r="BK4" s="58">
        <v>79</v>
      </c>
      <c r="BL4" s="58">
        <v>263</v>
      </c>
      <c r="BM4" s="58">
        <v>196</v>
      </c>
      <c r="BN4" s="58">
        <v>191</v>
      </c>
      <c r="BO4" s="58">
        <v>168</v>
      </c>
      <c r="BP4" s="58">
        <v>127</v>
      </c>
      <c r="BQ4" s="58">
        <v>129</v>
      </c>
      <c r="BR4" s="58">
        <v>135</v>
      </c>
      <c r="BS4" s="58">
        <v>265</v>
      </c>
      <c r="BT4" s="58">
        <v>264</v>
      </c>
      <c r="BU4" s="58">
        <v>212</v>
      </c>
      <c r="BV4" s="58">
        <v>271</v>
      </c>
      <c r="BW4" s="58">
        <v>111</v>
      </c>
      <c r="BX4" s="58">
        <v>113</v>
      </c>
      <c r="BY4" s="58">
        <v>139</v>
      </c>
      <c r="BZ4" s="58">
        <v>150</v>
      </c>
      <c r="CA4" s="58">
        <v>164</v>
      </c>
      <c r="CB4" s="58">
        <v>78</v>
      </c>
      <c r="CC4" s="58">
        <v>81</v>
      </c>
      <c r="CD4" s="58">
        <v>64</v>
      </c>
      <c r="CE4" s="58">
        <v>46</v>
      </c>
      <c r="CF4" s="58">
        <v>248</v>
      </c>
      <c r="CG4" s="58">
        <v>76</v>
      </c>
      <c r="CH4" s="58">
        <v>60</v>
      </c>
      <c r="CI4" s="58">
        <v>46</v>
      </c>
      <c r="CJ4" s="58">
        <v>154</v>
      </c>
      <c r="CK4" s="58">
        <v>66</v>
      </c>
      <c r="CL4" s="58">
        <v>165</v>
      </c>
      <c r="CM4" s="58">
        <v>78</v>
      </c>
      <c r="CN4" s="58">
        <v>63</v>
      </c>
      <c r="CO4" s="58">
        <v>91</v>
      </c>
      <c r="CP4" s="58">
        <v>34</v>
      </c>
      <c r="CQ4" s="58">
        <v>62</v>
      </c>
      <c r="CR4" s="58">
        <v>203</v>
      </c>
      <c r="CS4" s="58">
        <v>97</v>
      </c>
      <c r="CT4" s="58">
        <v>493</v>
      </c>
      <c r="CU4" s="58">
        <v>28</v>
      </c>
      <c r="CV4" s="58">
        <v>30</v>
      </c>
      <c r="CW4" s="58">
        <v>31</v>
      </c>
      <c r="CX4" s="58">
        <v>132</v>
      </c>
      <c r="CY4" s="58">
        <v>61</v>
      </c>
      <c r="CZ4" s="58">
        <v>39</v>
      </c>
      <c r="DA4" s="58">
        <v>5400</v>
      </c>
      <c r="DB4" s="58">
        <v>117</v>
      </c>
      <c r="DC4" s="58">
        <v>83</v>
      </c>
      <c r="DD4" s="58">
        <v>99</v>
      </c>
      <c r="DE4" s="58">
        <v>154</v>
      </c>
      <c r="DF4" s="58">
        <v>2718</v>
      </c>
      <c r="DG4" s="58">
        <v>147</v>
      </c>
      <c r="DH4" s="58">
        <v>116</v>
      </c>
      <c r="DI4" s="58">
        <v>132</v>
      </c>
      <c r="DJ4" s="58">
        <v>79</v>
      </c>
      <c r="DK4" s="58">
        <v>87</v>
      </c>
      <c r="DL4" s="58">
        <v>93</v>
      </c>
      <c r="DM4" s="58">
        <v>241</v>
      </c>
      <c r="DN4" s="58">
        <v>107</v>
      </c>
      <c r="DO4" s="58">
        <v>68</v>
      </c>
      <c r="DP4" s="58">
        <v>57</v>
      </c>
      <c r="DQ4" s="58">
        <v>177</v>
      </c>
      <c r="DR4" s="58">
        <v>183</v>
      </c>
      <c r="DS4" s="58">
        <v>180</v>
      </c>
      <c r="DT4" s="58">
        <v>228</v>
      </c>
      <c r="DU4" s="58">
        <v>262</v>
      </c>
      <c r="DV4" s="58">
        <v>313</v>
      </c>
      <c r="DW4" s="58">
        <v>195</v>
      </c>
      <c r="DX4" s="58">
        <v>147</v>
      </c>
      <c r="DY4" s="58">
        <v>157</v>
      </c>
      <c r="DZ4" s="58">
        <v>361</v>
      </c>
      <c r="EA4" s="58">
        <v>180</v>
      </c>
      <c r="EB4" s="58">
        <v>218</v>
      </c>
      <c r="EC4" s="58">
        <v>351</v>
      </c>
      <c r="ED4" s="58">
        <v>321</v>
      </c>
      <c r="EE4" s="58">
        <v>370</v>
      </c>
      <c r="EF4" s="58">
        <v>10</v>
      </c>
      <c r="EG4" s="58">
        <v>12</v>
      </c>
      <c r="EH4" s="58">
        <v>5</v>
      </c>
      <c r="EI4" s="58">
        <v>6</v>
      </c>
      <c r="EJ4" s="58">
        <v>77</v>
      </c>
      <c r="EK4" s="58">
        <v>46</v>
      </c>
      <c r="EL4" s="58">
        <v>231</v>
      </c>
      <c r="EM4" s="58">
        <v>580</v>
      </c>
      <c r="EN4" s="58">
        <v>5</v>
      </c>
      <c r="EO4" s="58">
        <v>5</v>
      </c>
      <c r="EP4" s="58">
        <v>6</v>
      </c>
    </row>
    <row r="5" spans="1:146" x14ac:dyDescent="0.3">
      <c r="A5" s="65" t="s">
        <v>161</v>
      </c>
      <c r="B5" s="61">
        <v>13</v>
      </c>
      <c r="C5" s="61">
        <v>7</v>
      </c>
      <c r="D5" s="58">
        <v>8</v>
      </c>
      <c r="E5" s="58">
        <v>15</v>
      </c>
      <c r="F5" s="58">
        <v>13</v>
      </c>
      <c r="G5" s="58">
        <v>10</v>
      </c>
      <c r="H5" s="58">
        <v>9</v>
      </c>
      <c r="I5" s="91">
        <v>6</v>
      </c>
      <c r="J5" s="91">
        <v>8</v>
      </c>
      <c r="K5" s="91">
        <v>11</v>
      </c>
      <c r="L5" s="91">
        <v>9</v>
      </c>
      <c r="M5" s="91">
        <v>10</v>
      </c>
      <c r="N5" s="91">
        <v>7</v>
      </c>
      <c r="O5" s="91">
        <v>5</v>
      </c>
      <c r="P5" s="91">
        <v>5</v>
      </c>
      <c r="Q5" s="91">
        <v>6</v>
      </c>
      <c r="R5" s="91">
        <v>8</v>
      </c>
      <c r="S5" s="91">
        <v>8</v>
      </c>
      <c r="T5" s="91">
        <v>7</v>
      </c>
      <c r="U5" s="91">
        <v>9</v>
      </c>
      <c r="V5" s="91">
        <v>6</v>
      </c>
      <c r="W5" s="91">
        <v>9</v>
      </c>
      <c r="X5" s="91">
        <v>14</v>
      </c>
      <c r="Y5" s="91">
        <v>10</v>
      </c>
      <c r="Z5" s="91">
        <v>8</v>
      </c>
      <c r="AA5" s="91">
        <v>11</v>
      </c>
      <c r="AB5" s="91">
        <v>21</v>
      </c>
      <c r="AC5" s="91">
        <v>2</v>
      </c>
      <c r="AD5" s="91">
        <v>10</v>
      </c>
      <c r="AE5" s="91">
        <v>5</v>
      </c>
      <c r="AF5" s="91">
        <v>5</v>
      </c>
      <c r="AG5" s="91">
        <v>8</v>
      </c>
      <c r="AH5" s="91">
        <v>12</v>
      </c>
      <c r="AI5" s="91">
        <v>4</v>
      </c>
      <c r="AJ5" s="91">
        <v>5</v>
      </c>
      <c r="AK5" s="91">
        <v>9</v>
      </c>
      <c r="AL5" s="91">
        <v>9</v>
      </c>
      <c r="AM5" s="91">
        <v>11</v>
      </c>
      <c r="AN5" s="91">
        <v>9</v>
      </c>
      <c r="AO5" s="91">
        <v>12</v>
      </c>
      <c r="AP5" s="91">
        <v>11</v>
      </c>
      <c r="AQ5" s="91">
        <v>10</v>
      </c>
      <c r="AR5" s="91">
        <v>11</v>
      </c>
      <c r="AS5" s="91">
        <v>20</v>
      </c>
      <c r="AT5" s="91">
        <v>8</v>
      </c>
      <c r="AU5" s="91">
        <v>16</v>
      </c>
      <c r="AV5" s="91">
        <v>10</v>
      </c>
      <c r="AW5" s="91">
        <v>9</v>
      </c>
      <c r="AX5" s="91">
        <v>8</v>
      </c>
      <c r="AY5" s="91">
        <v>7</v>
      </c>
      <c r="AZ5" s="91">
        <v>10</v>
      </c>
      <c r="BA5" s="91">
        <v>12</v>
      </c>
      <c r="BB5" s="91">
        <v>14</v>
      </c>
      <c r="BC5" s="91">
        <v>8</v>
      </c>
      <c r="BD5" s="91">
        <v>7</v>
      </c>
      <c r="BE5" s="91">
        <v>18</v>
      </c>
      <c r="BF5" s="91">
        <v>12</v>
      </c>
      <c r="BG5" s="91">
        <v>4</v>
      </c>
      <c r="BH5" s="91">
        <v>9</v>
      </c>
      <c r="BI5" s="91">
        <v>11</v>
      </c>
      <c r="BJ5" s="58">
        <v>7</v>
      </c>
      <c r="BK5" s="58">
        <v>4</v>
      </c>
      <c r="BL5" s="58">
        <v>15</v>
      </c>
      <c r="BM5" s="58">
        <v>6</v>
      </c>
      <c r="BN5" s="58">
        <v>5</v>
      </c>
      <c r="BO5" s="58">
        <v>4</v>
      </c>
      <c r="BP5" s="58">
        <v>4</v>
      </c>
      <c r="BQ5" s="58">
        <v>11</v>
      </c>
      <c r="BR5" s="58">
        <v>6</v>
      </c>
      <c r="BS5" s="58">
        <v>8</v>
      </c>
      <c r="BT5" s="58">
        <v>6</v>
      </c>
      <c r="BU5" s="58">
        <v>6</v>
      </c>
      <c r="BV5" s="58">
        <v>10</v>
      </c>
      <c r="BW5" s="58">
        <v>12</v>
      </c>
      <c r="BX5" s="58">
        <v>8</v>
      </c>
      <c r="BY5" s="58">
        <v>6</v>
      </c>
      <c r="BZ5" s="58">
        <v>10</v>
      </c>
      <c r="CA5" s="58">
        <v>8</v>
      </c>
      <c r="CB5" s="58">
        <v>12</v>
      </c>
      <c r="CC5" s="58">
        <v>7</v>
      </c>
      <c r="CD5" s="58">
        <v>8</v>
      </c>
      <c r="CE5" s="58">
        <v>10</v>
      </c>
      <c r="CF5" s="58">
        <v>13</v>
      </c>
      <c r="CG5" s="58">
        <v>7</v>
      </c>
      <c r="CH5" s="58">
        <v>17</v>
      </c>
      <c r="CI5" s="58">
        <v>15</v>
      </c>
      <c r="CJ5" s="58">
        <v>13</v>
      </c>
      <c r="CK5" s="58">
        <v>18</v>
      </c>
      <c r="CL5" s="58">
        <v>7</v>
      </c>
      <c r="CM5" s="58">
        <v>6</v>
      </c>
      <c r="CN5" s="58">
        <v>17</v>
      </c>
      <c r="CO5" s="58">
        <v>10</v>
      </c>
      <c r="CP5" s="58">
        <v>5</v>
      </c>
      <c r="CQ5" s="58">
        <v>20</v>
      </c>
      <c r="CR5" s="58">
        <v>18</v>
      </c>
      <c r="CS5" s="58">
        <v>10</v>
      </c>
      <c r="CT5" s="58">
        <v>8</v>
      </c>
      <c r="CU5" s="58">
        <v>9</v>
      </c>
      <c r="CV5" s="58">
        <v>7</v>
      </c>
      <c r="CW5" s="58">
        <v>7</v>
      </c>
      <c r="CX5" s="58">
        <v>15</v>
      </c>
      <c r="CY5" s="58">
        <v>3</v>
      </c>
      <c r="CZ5" s="58">
        <v>13</v>
      </c>
      <c r="DA5" s="58">
        <v>12</v>
      </c>
      <c r="DB5" s="58">
        <v>21</v>
      </c>
      <c r="DC5" s="58">
        <v>6</v>
      </c>
      <c r="DD5" s="58">
        <v>13</v>
      </c>
      <c r="DE5" s="58">
        <v>13</v>
      </c>
      <c r="DF5" s="58">
        <v>15</v>
      </c>
      <c r="DG5" s="58">
        <v>7</v>
      </c>
      <c r="DH5" s="58">
        <v>8</v>
      </c>
      <c r="DI5" s="58">
        <v>19</v>
      </c>
      <c r="DJ5" s="58">
        <v>13</v>
      </c>
      <c r="DK5" s="58">
        <v>20</v>
      </c>
      <c r="DL5" s="58">
        <v>8</v>
      </c>
      <c r="DM5" s="58">
        <v>12</v>
      </c>
      <c r="DN5" s="58">
        <v>10</v>
      </c>
      <c r="DO5" s="58">
        <v>29</v>
      </c>
      <c r="DP5" s="58">
        <v>2</v>
      </c>
      <c r="DQ5" s="58">
        <v>5</v>
      </c>
      <c r="DR5" s="58">
        <v>18</v>
      </c>
      <c r="DS5" s="58">
        <v>6</v>
      </c>
      <c r="DT5" s="58">
        <v>14</v>
      </c>
      <c r="DU5" s="58">
        <v>6</v>
      </c>
      <c r="DV5" s="58">
        <v>11</v>
      </c>
      <c r="DW5" s="58">
        <v>15</v>
      </c>
      <c r="DX5" s="58">
        <v>14</v>
      </c>
      <c r="DY5" s="58">
        <v>13</v>
      </c>
      <c r="DZ5" s="58">
        <v>19</v>
      </c>
      <c r="EA5" s="58">
        <v>12</v>
      </c>
      <c r="EB5" s="58">
        <v>12</v>
      </c>
      <c r="EC5" s="58">
        <v>7</v>
      </c>
      <c r="ED5" s="58">
        <v>9</v>
      </c>
      <c r="EE5" s="58">
        <v>10</v>
      </c>
      <c r="EF5" s="58">
        <v>11</v>
      </c>
      <c r="EG5" s="58">
        <v>12</v>
      </c>
      <c r="EH5" s="58">
        <v>7</v>
      </c>
      <c r="EI5" s="58">
        <v>10</v>
      </c>
      <c r="EJ5" s="58">
        <v>7</v>
      </c>
      <c r="EK5" s="58">
        <v>15</v>
      </c>
      <c r="EL5" s="58">
        <v>17</v>
      </c>
      <c r="EM5" s="58">
        <v>28</v>
      </c>
      <c r="EN5" s="58">
        <v>12</v>
      </c>
      <c r="EO5" s="58">
        <v>17</v>
      </c>
      <c r="EP5" s="58">
        <v>11</v>
      </c>
    </row>
    <row r="6" spans="1:146" x14ac:dyDescent="0.3">
      <c r="A6" s="58" t="s">
        <v>209</v>
      </c>
      <c r="D6" s="58">
        <v>5</v>
      </c>
      <c r="E6" s="58">
        <v>14</v>
      </c>
      <c r="F6" s="58">
        <v>11</v>
      </c>
      <c r="G6" s="58">
        <v>7</v>
      </c>
      <c r="H6" s="58">
        <v>8</v>
      </c>
      <c r="I6" s="91">
        <v>5</v>
      </c>
      <c r="J6" s="91">
        <v>7</v>
      </c>
      <c r="K6" s="91">
        <v>9</v>
      </c>
      <c r="L6" s="91">
        <v>8</v>
      </c>
      <c r="M6" s="91">
        <v>4</v>
      </c>
      <c r="N6" s="91">
        <v>5</v>
      </c>
      <c r="O6" s="91">
        <v>3</v>
      </c>
      <c r="P6" s="91">
        <v>4</v>
      </c>
      <c r="Q6" s="91">
        <v>5</v>
      </c>
      <c r="R6" s="91">
        <v>6</v>
      </c>
      <c r="S6" s="91">
        <v>8</v>
      </c>
      <c r="T6" s="91">
        <v>6</v>
      </c>
      <c r="U6" s="91">
        <v>7</v>
      </c>
      <c r="V6" s="91">
        <v>6</v>
      </c>
      <c r="W6" s="91">
        <v>3</v>
      </c>
      <c r="X6" s="91">
        <v>7</v>
      </c>
      <c r="Y6" s="91">
        <v>7</v>
      </c>
      <c r="Z6" s="91">
        <v>6</v>
      </c>
      <c r="AA6" s="91">
        <v>10</v>
      </c>
      <c r="AB6" s="91">
        <v>18</v>
      </c>
      <c r="AC6" s="91">
        <v>2</v>
      </c>
      <c r="AD6" s="91">
        <v>7</v>
      </c>
      <c r="AE6" s="91">
        <v>1</v>
      </c>
      <c r="AF6" s="91">
        <v>5</v>
      </c>
      <c r="AG6" s="91">
        <v>5</v>
      </c>
      <c r="AH6" s="91">
        <v>8</v>
      </c>
      <c r="AI6" s="91">
        <v>2</v>
      </c>
      <c r="AJ6" s="91">
        <v>3</v>
      </c>
      <c r="AK6" s="91">
        <v>2</v>
      </c>
      <c r="AL6" s="91">
        <v>4</v>
      </c>
      <c r="AM6" s="91">
        <v>3</v>
      </c>
      <c r="AN6" s="91">
        <v>2</v>
      </c>
      <c r="AO6" s="91">
        <v>10</v>
      </c>
      <c r="AP6" s="91">
        <v>10</v>
      </c>
      <c r="AQ6" s="91">
        <v>3</v>
      </c>
      <c r="AR6" s="91">
        <v>3</v>
      </c>
      <c r="AS6" s="91">
        <v>11</v>
      </c>
      <c r="AT6" s="91">
        <v>3</v>
      </c>
      <c r="AU6" s="91">
        <v>7</v>
      </c>
      <c r="AV6" s="91">
        <v>6</v>
      </c>
      <c r="AW6" s="91">
        <v>5</v>
      </c>
      <c r="AX6" s="91">
        <v>4</v>
      </c>
      <c r="AY6" s="91">
        <v>4</v>
      </c>
      <c r="AZ6" s="91">
        <v>5</v>
      </c>
      <c r="BA6" s="91">
        <v>7</v>
      </c>
      <c r="BB6" s="91">
        <v>7</v>
      </c>
      <c r="BC6" s="91">
        <v>2</v>
      </c>
      <c r="BD6" s="91">
        <v>2</v>
      </c>
      <c r="BE6" s="91">
        <v>3</v>
      </c>
      <c r="BF6" s="91">
        <v>3</v>
      </c>
      <c r="BG6" s="91">
        <v>2</v>
      </c>
      <c r="BH6" s="91">
        <v>3</v>
      </c>
      <c r="BI6" s="91">
        <v>7</v>
      </c>
      <c r="BJ6" s="58">
        <v>3</v>
      </c>
      <c r="BK6" s="58">
        <v>0</v>
      </c>
      <c r="BL6" s="58">
        <v>4</v>
      </c>
      <c r="BM6" s="58">
        <v>2</v>
      </c>
      <c r="BN6" s="58">
        <v>1</v>
      </c>
      <c r="BO6" s="58">
        <v>2</v>
      </c>
      <c r="BP6" s="58">
        <v>0</v>
      </c>
      <c r="BQ6" s="58">
        <v>6</v>
      </c>
      <c r="BR6" s="58">
        <v>3</v>
      </c>
      <c r="BS6" s="58">
        <v>6</v>
      </c>
      <c r="BT6" s="58">
        <v>2</v>
      </c>
      <c r="BU6" s="58">
        <v>4</v>
      </c>
      <c r="BV6" s="58">
        <v>3</v>
      </c>
      <c r="BW6" s="58">
        <v>6</v>
      </c>
      <c r="BX6" s="58">
        <v>1</v>
      </c>
      <c r="BY6" s="58">
        <v>1</v>
      </c>
      <c r="BZ6" s="58">
        <v>4</v>
      </c>
      <c r="CA6" s="58">
        <v>6</v>
      </c>
      <c r="CB6" s="58">
        <v>6</v>
      </c>
      <c r="CC6" s="58">
        <v>3</v>
      </c>
      <c r="CD6" s="58">
        <v>3</v>
      </c>
      <c r="CE6" s="58">
        <v>2</v>
      </c>
      <c r="CF6" s="58">
        <v>6</v>
      </c>
      <c r="CG6" s="58">
        <v>3</v>
      </c>
      <c r="CH6" s="58">
        <v>3</v>
      </c>
      <c r="CI6" s="58">
        <v>6</v>
      </c>
      <c r="CJ6" s="58">
        <v>3</v>
      </c>
      <c r="CK6" s="58">
        <v>8</v>
      </c>
      <c r="CL6" s="58">
        <v>2</v>
      </c>
      <c r="CM6" s="58">
        <v>2</v>
      </c>
      <c r="CN6" s="58">
        <v>2</v>
      </c>
      <c r="CO6" s="58">
        <v>3</v>
      </c>
      <c r="CP6" s="58">
        <v>1</v>
      </c>
      <c r="CQ6" s="58">
        <v>4</v>
      </c>
      <c r="CR6" s="58">
        <v>6</v>
      </c>
      <c r="CS6" s="58">
        <v>1</v>
      </c>
      <c r="CT6" s="58">
        <v>1</v>
      </c>
      <c r="CU6" s="58">
        <v>3</v>
      </c>
      <c r="CV6" s="58">
        <v>1</v>
      </c>
      <c r="CW6" s="58">
        <v>2</v>
      </c>
      <c r="CX6" s="58">
        <v>3</v>
      </c>
      <c r="CY6" s="58">
        <v>2</v>
      </c>
      <c r="CZ6" s="58">
        <v>1</v>
      </c>
      <c r="DA6" s="58">
        <v>4</v>
      </c>
      <c r="DB6" s="58">
        <v>8</v>
      </c>
      <c r="DC6" s="58">
        <v>2</v>
      </c>
      <c r="DD6" s="58">
        <v>1</v>
      </c>
      <c r="DE6" s="58">
        <v>2</v>
      </c>
      <c r="DF6" s="58">
        <v>2</v>
      </c>
      <c r="DG6" s="58">
        <v>4</v>
      </c>
      <c r="DH6" s="58">
        <v>2</v>
      </c>
      <c r="DI6" s="58">
        <v>5</v>
      </c>
      <c r="DJ6" s="58">
        <v>3</v>
      </c>
      <c r="DK6" s="58">
        <v>4</v>
      </c>
      <c r="DL6" s="58">
        <v>0</v>
      </c>
      <c r="DM6" s="58">
        <v>4</v>
      </c>
      <c r="DN6" s="58">
        <v>2</v>
      </c>
      <c r="DO6" s="58">
        <v>1</v>
      </c>
      <c r="DP6" s="58">
        <v>3</v>
      </c>
      <c r="DQ6" s="58">
        <v>5</v>
      </c>
      <c r="DR6" s="58">
        <v>5</v>
      </c>
      <c r="DS6" s="58">
        <v>2</v>
      </c>
      <c r="DT6" s="58">
        <v>3</v>
      </c>
      <c r="DU6" s="58">
        <v>1</v>
      </c>
      <c r="DV6" s="58">
        <v>5</v>
      </c>
      <c r="DW6" s="58">
        <v>8</v>
      </c>
      <c r="DX6" s="58">
        <v>10</v>
      </c>
      <c r="DY6" s="58">
        <v>5</v>
      </c>
      <c r="DZ6" s="58">
        <v>10</v>
      </c>
      <c r="EA6" s="58">
        <v>5</v>
      </c>
      <c r="EB6" s="58">
        <v>3</v>
      </c>
      <c r="EC6" s="58">
        <v>2</v>
      </c>
      <c r="ED6" s="58">
        <v>4</v>
      </c>
      <c r="EE6" s="58">
        <v>6</v>
      </c>
      <c r="EF6" s="58">
        <v>1</v>
      </c>
      <c r="EG6" s="58">
        <v>3</v>
      </c>
      <c r="EH6" s="58">
        <v>1</v>
      </c>
      <c r="EI6" s="58">
        <v>2</v>
      </c>
      <c r="EJ6" s="58">
        <v>2</v>
      </c>
      <c r="EK6" s="58">
        <v>3</v>
      </c>
      <c r="EL6" s="58">
        <v>9</v>
      </c>
      <c r="EM6" s="58">
        <v>7</v>
      </c>
      <c r="EN6" s="58">
        <v>10</v>
      </c>
      <c r="EO6" s="58">
        <v>15</v>
      </c>
      <c r="EP6" s="58">
        <v>2</v>
      </c>
    </row>
    <row r="7" spans="1:146" x14ac:dyDescent="0.3">
      <c r="J7" s="91"/>
      <c r="AJ7" s="93"/>
    </row>
    <row r="8" spans="1:146" x14ac:dyDescent="0.3">
      <c r="A8" s="67" t="s">
        <v>162</v>
      </c>
      <c r="B8" s="60" t="s">
        <v>163</v>
      </c>
      <c r="C8" s="60" t="s">
        <v>68</v>
      </c>
      <c r="D8" s="60" t="s">
        <v>69</v>
      </c>
      <c r="E8" s="60" t="s">
        <v>70</v>
      </c>
      <c r="F8" s="60" t="s">
        <v>71</v>
      </c>
      <c r="G8" s="60" t="s">
        <v>72</v>
      </c>
      <c r="H8" s="60" t="s">
        <v>73</v>
      </c>
      <c r="I8" s="60" t="s">
        <v>74</v>
      </c>
      <c r="J8" s="60" t="s">
        <v>75</v>
      </c>
      <c r="K8" s="60" t="s">
        <v>76</v>
      </c>
      <c r="L8" s="60" t="s">
        <v>77</v>
      </c>
      <c r="M8" s="60" t="s">
        <v>78</v>
      </c>
      <c r="N8" s="60" t="s">
        <v>79</v>
      </c>
      <c r="O8" s="60" t="s">
        <v>80</v>
      </c>
      <c r="P8" s="93" t="s">
        <v>81</v>
      </c>
      <c r="Q8" s="93" t="s">
        <v>82</v>
      </c>
      <c r="R8" s="93" t="s">
        <v>83</v>
      </c>
      <c r="S8" s="93" t="s">
        <v>84</v>
      </c>
      <c r="T8" s="93" t="s">
        <v>85</v>
      </c>
      <c r="U8" s="93" t="s">
        <v>86</v>
      </c>
      <c r="V8" s="93" t="s">
        <v>87</v>
      </c>
      <c r="W8" s="93" t="s">
        <v>88</v>
      </c>
      <c r="X8" s="93" t="s">
        <v>89</v>
      </c>
      <c r="Y8" s="93" t="s">
        <v>90</v>
      </c>
      <c r="Z8" s="93" t="s">
        <v>91</v>
      </c>
      <c r="AA8" s="93" t="s">
        <v>92</v>
      </c>
      <c r="AB8" s="93" t="s">
        <v>93</v>
      </c>
      <c r="AC8" s="93" t="s">
        <v>94</v>
      </c>
      <c r="AD8" s="93" t="s">
        <v>95</v>
      </c>
      <c r="AE8" s="93" t="s">
        <v>96</v>
      </c>
      <c r="AF8" s="93" t="s">
        <v>97</v>
      </c>
      <c r="AG8" s="93" t="s">
        <v>46</v>
      </c>
      <c r="AH8" s="93" t="s">
        <v>47</v>
      </c>
      <c r="AI8" s="93" t="s">
        <v>48</v>
      </c>
      <c r="AJ8" s="93" t="s">
        <v>49</v>
      </c>
      <c r="AK8" s="93" t="s">
        <v>50</v>
      </c>
      <c r="AL8" s="93" t="s">
        <v>51</v>
      </c>
      <c r="AM8" s="93" t="s">
        <v>52</v>
      </c>
      <c r="AN8" s="93" t="s">
        <v>53</v>
      </c>
      <c r="AO8" s="93" t="s">
        <v>54</v>
      </c>
      <c r="AP8" s="93" t="s">
        <v>55</v>
      </c>
      <c r="AQ8" s="93" t="s">
        <v>56</v>
      </c>
      <c r="AR8" s="93" t="s">
        <v>57</v>
      </c>
      <c r="AS8" s="93" t="s">
        <v>58</v>
      </c>
      <c r="AT8" s="93" t="s">
        <v>59</v>
      </c>
      <c r="AU8" s="93" t="s">
        <v>60</v>
      </c>
      <c r="AV8" s="93" t="s">
        <v>61</v>
      </c>
      <c r="AW8" s="93" t="s">
        <v>62</v>
      </c>
      <c r="AX8" s="93" t="s">
        <v>63</v>
      </c>
      <c r="AY8" s="93" t="s">
        <v>64</v>
      </c>
      <c r="AZ8" s="93" t="s">
        <v>65</v>
      </c>
      <c r="BA8" s="93" t="s">
        <v>66</v>
      </c>
      <c r="BB8" s="93" t="s">
        <v>67</v>
      </c>
      <c r="BC8" s="93" t="s">
        <v>68</v>
      </c>
      <c r="BD8" s="93" t="s">
        <v>69</v>
      </c>
      <c r="BE8" s="93" t="s">
        <v>70</v>
      </c>
      <c r="BF8" s="93" t="s">
        <v>71</v>
      </c>
      <c r="BG8" s="93" t="s">
        <v>72</v>
      </c>
      <c r="BH8" s="93" t="s">
        <v>73</v>
      </c>
      <c r="BI8" s="93" t="s">
        <v>74</v>
      </c>
      <c r="BJ8" s="93" t="s">
        <v>75</v>
      </c>
      <c r="BK8" s="93" t="s">
        <v>76</v>
      </c>
      <c r="BL8" s="93" t="s">
        <v>77</v>
      </c>
      <c r="BM8" s="93" t="s">
        <v>78</v>
      </c>
      <c r="BN8" s="93" t="s">
        <v>79</v>
      </c>
      <c r="BO8" s="93" t="s">
        <v>80</v>
      </c>
      <c r="BP8" s="93" t="s">
        <v>210</v>
      </c>
      <c r="BQ8" s="93" t="s">
        <v>211</v>
      </c>
      <c r="BR8" s="93" t="s">
        <v>212</v>
      </c>
      <c r="BS8" s="93" t="s">
        <v>213</v>
      </c>
      <c r="BT8" s="93" t="s">
        <v>214</v>
      </c>
      <c r="BU8" s="93" t="s">
        <v>216</v>
      </c>
      <c r="BV8" s="93" t="s">
        <v>217</v>
      </c>
      <c r="BW8" s="93" t="s">
        <v>218</v>
      </c>
      <c r="BX8" s="93" t="s">
        <v>220</v>
      </c>
      <c r="BY8" s="93" t="s">
        <v>90</v>
      </c>
      <c r="BZ8" s="93" t="s">
        <v>91</v>
      </c>
      <c r="CA8" s="93" t="s">
        <v>92</v>
      </c>
      <c r="CB8" s="93" t="s">
        <v>93</v>
      </c>
      <c r="CC8" s="93" t="s">
        <v>94</v>
      </c>
      <c r="CD8" s="93" t="s">
        <v>95</v>
      </c>
      <c r="CE8" s="93" t="s">
        <v>96</v>
      </c>
      <c r="CF8" s="93" t="s">
        <v>97</v>
      </c>
      <c r="CG8" s="93" t="s">
        <v>46</v>
      </c>
      <c r="CH8" s="93" t="s">
        <v>47</v>
      </c>
      <c r="CI8" s="93" t="s">
        <v>48</v>
      </c>
      <c r="CJ8" s="93" t="s">
        <v>49</v>
      </c>
      <c r="CK8" s="93" t="s">
        <v>50</v>
      </c>
      <c r="CL8" s="93" t="s">
        <v>51</v>
      </c>
      <c r="CM8" s="93" t="s">
        <v>52</v>
      </c>
      <c r="CN8" s="93" t="s">
        <v>53</v>
      </c>
      <c r="CO8" s="93" t="s">
        <v>54</v>
      </c>
      <c r="CP8" s="93" t="s">
        <v>55</v>
      </c>
      <c r="CQ8" s="93" t="s">
        <v>56</v>
      </c>
      <c r="CR8" s="93" t="s">
        <v>57</v>
      </c>
      <c r="CS8" s="93" t="s">
        <v>58</v>
      </c>
      <c r="CT8" s="93" t="s">
        <v>59</v>
      </c>
      <c r="CU8" s="93" t="s">
        <v>60</v>
      </c>
      <c r="CV8" s="93" t="s">
        <v>61</v>
      </c>
      <c r="CW8" s="93" t="s">
        <v>62</v>
      </c>
      <c r="CX8" s="93" t="s">
        <v>63</v>
      </c>
      <c r="CY8" s="93" t="s">
        <v>64</v>
      </c>
      <c r="CZ8" s="93" t="s">
        <v>65</v>
      </c>
      <c r="DA8" s="93" t="s">
        <v>66</v>
      </c>
      <c r="DB8" s="93" t="s">
        <v>67</v>
      </c>
      <c r="DC8" s="93" t="s">
        <v>68</v>
      </c>
      <c r="DD8" s="93" t="s">
        <v>69</v>
      </c>
      <c r="DE8" s="93" t="s">
        <v>70</v>
      </c>
      <c r="DF8" s="93" t="s">
        <v>71</v>
      </c>
      <c r="DG8" s="93" t="s">
        <v>72</v>
      </c>
      <c r="DH8" s="93" t="s">
        <v>73</v>
      </c>
      <c r="DI8" s="93" t="s">
        <v>74</v>
      </c>
      <c r="DJ8" s="93" t="s">
        <v>75</v>
      </c>
      <c r="DK8" s="93" t="s">
        <v>76</v>
      </c>
      <c r="DL8" s="93" t="s">
        <v>77</v>
      </c>
      <c r="DM8" s="93" t="s">
        <v>78</v>
      </c>
      <c r="DN8" s="93" t="s">
        <v>79</v>
      </c>
      <c r="DO8" s="93" t="s">
        <v>80</v>
      </c>
      <c r="DP8" s="93" t="s">
        <v>210</v>
      </c>
      <c r="DQ8" s="93" t="s">
        <v>211</v>
      </c>
      <c r="DR8" s="93" t="s">
        <v>212</v>
      </c>
      <c r="DS8" s="93" t="s">
        <v>213</v>
      </c>
      <c r="DT8" s="93" t="s">
        <v>214</v>
      </c>
      <c r="DU8" s="93" t="s">
        <v>216</v>
      </c>
      <c r="DV8" s="93" t="s">
        <v>217</v>
      </c>
      <c r="DW8" s="93" t="s">
        <v>218</v>
      </c>
      <c r="DX8" s="93" t="s">
        <v>220</v>
      </c>
      <c r="DY8" s="93" t="s">
        <v>90</v>
      </c>
      <c r="DZ8" s="93" t="s">
        <v>91</v>
      </c>
      <c r="EA8" s="93" t="s">
        <v>92</v>
      </c>
      <c r="EB8" s="93" t="s">
        <v>93</v>
      </c>
      <c r="EC8" s="93" t="s">
        <v>94</v>
      </c>
      <c r="ED8" s="93" t="s">
        <v>95</v>
      </c>
      <c r="EE8" s="93" t="s">
        <v>96</v>
      </c>
      <c r="EF8" s="93" t="s">
        <v>97</v>
      </c>
      <c r="EG8" s="93" t="s">
        <v>46</v>
      </c>
      <c r="EH8" s="93" t="s">
        <v>47</v>
      </c>
      <c r="EI8" s="93" t="s">
        <v>48</v>
      </c>
      <c r="EJ8" s="93" t="s">
        <v>49</v>
      </c>
      <c r="EK8" s="93" t="s">
        <v>50</v>
      </c>
      <c r="EL8" s="93" t="s">
        <v>51</v>
      </c>
      <c r="EM8" s="93" t="s">
        <v>52</v>
      </c>
      <c r="EN8" s="93" t="s">
        <v>53</v>
      </c>
      <c r="EO8" s="93" t="s">
        <v>54</v>
      </c>
      <c r="EP8" s="93" t="s">
        <v>55</v>
      </c>
    </row>
    <row r="9" spans="1:146" x14ac:dyDescent="0.3">
      <c r="A9" s="65" t="s">
        <v>164</v>
      </c>
      <c r="B9" s="61">
        <v>52</v>
      </c>
      <c r="C9" s="61">
        <v>85</v>
      </c>
      <c r="D9" s="58">
        <v>63</v>
      </c>
      <c r="E9" s="58">
        <v>105</v>
      </c>
      <c r="F9" s="58">
        <v>180</v>
      </c>
      <c r="G9" s="58">
        <v>86</v>
      </c>
      <c r="H9" s="58">
        <v>118</v>
      </c>
      <c r="I9" s="91">
        <v>80</v>
      </c>
      <c r="J9" s="91">
        <v>41</v>
      </c>
      <c r="K9" s="91">
        <v>60</v>
      </c>
      <c r="L9" s="91">
        <v>45</v>
      </c>
      <c r="M9" s="91">
        <v>38</v>
      </c>
      <c r="N9" s="91">
        <v>38</v>
      </c>
      <c r="O9" s="91">
        <v>14</v>
      </c>
      <c r="P9" s="91">
        <v>36</v>
      </c>
      <c r="Q9" s="91">
        <v>108</v>
      </c>
      <c r="R9" s="91">
        <v>105</v>
      </c>
      <c r="S9" s="91">
        <v>144</v>
      </c>
      <c r="T9" s="91">
        <v>60</v>
      </c>
      <c r="U9" s="91">
        <v>72</v>
      </c>
      <c r="V9" s="91">
        <v>58</v>
      </c>
      <c r="W9" s="91">
        <v>61</v>
      </c>
      <c r="X9" s="91">
        <v>55</v>
      </c>
      <c r="Y9" s="91">
        <v>75</v>
      </c>
      <c r="Z9" s="91">
        <v>49</v>
      </c>
      <c r="AA9" s="91">
        <v>59</v>
      </c>
      <c r="AB9" s="91">
        <v>49</v>
      </c>
      <c r="AC9" s="91">
        <v>48</v>
      </c>
      <c r="AD9" s="91">
        <v>154</v>
      </c>
      <c r="AE9" s="91">
        <v>50</v>
      </c>
      <c r="AF9" s="91">
        <v>43</v>
      </c>
      <c r="AG9" s="91">
        <v>68</v>
      </c>
      <c r="AH9" s="91">
        <v>50</v>
      </c>
      <c r="AI9" s="91">
        <v>45</v>
      </c>
      <c r="AJ9" s="91">
        <v>115</v>
      </c>
      <c r="AK9" s="91">
        <v>34</v>
      </c>
      <c r="AL9" s="91">
        <v>65</v>
      </c>
      <c r="AM9" s="91">
        <v>108</v>
      </c>
      <c r="AN9" s="91">
        <v>109</v>
      </c>
      <c r="AO9" s="91">
        <v>65</v>
      </c>
      <c r="AP9" s="91">
        <v>120</v>
      </c>
      <c r="AQ9" s="91">
        <v>80</v>
      </c>
      <c r="AR9" s="91">
        <v>181</v>
      </c>
      <c r="AS9" s="91">
        <v>95</v>
      </c>
      <c r="AT9" s="91">
        <v>111</v>
      </c>
      <c r="AU9" s="91">
        <v>160</v>
      </c>
      <c r="AV9" s="91">
        <v>119</v>
      </c>
      <c r="AW9" s="91">
        <v>85</v>
      </c>
      <c r="AX9" s="91">
        <v>108</v>
      </c>
      <c r="AY9" s="91">
        <v>57</v>
      </c>
      <c r="AZ9" s="91">
        <v>104</v>
      </c>
      <c r="BA9" s="91">
        <v>60</v>
      </c>
      <c r="BB9" s="91">
        <v>96</v>
      </c>
      <c r="BC9" s="91">
        <v>63</v>
      </c>
      <c r="BD9" s="91">
        <v>58</v>
      </c>
      <c r="BE9" s="91">
        <v>161</v>
      </c>
      <c r="BF9" s="91">
        <v>87</v>
      </c>
      <c r="BG9" s="91">
        <v>100</v>
      </c>
      <c r="BH9" s="91">
        <v>134</v>
      </c>
      <c r="BI9" s="91">
        <v>84</v>
      </c>
      <c r="BJ9" s="58">
        <v>53</v>
      </c>
      <c r="BK9" s="58">
        <v>112</v>
      </c>
      <c r="BL9" s="58">
        <v>93</v>
      </c>
      <c r="BM9" s="58">
        <v>85</v>
      </c>
      <c r="BN9" s="58">
        <v>59</v>
      </c>
      <c r="BO9" s="58">
        <v>51</v>
      </c>
      <c r="BP9" s="58">
        <v>83</v>
      </c>
      <c r="BQ9" s="58">
        <v>77</v>
      </c>
      <c r="BR9" s="58">
        <v>96</v>
      </c>
      <c r="BS9" s="58">
        <v>105</v>
      </c>
      <c r="BT9" s="58">
        <v>146</v>
      </c>
      <c r="BU9" s="58">
        <v>74</v>
      </c>
      <c r="BV9" s="58">
        <v>58</v>
      </c>
      <c r="BW9" s="58">
        <v>67</v>
      </c>
      <c r="BX9" s="58">
        <v>49</v>
      </c>
      <c r="BY9" s="58">
        <v>67</v>
      </c>
      <c r="BZ9" s="58">
        <v>87</v>
      </c>
      <c r="CA9" s="58">
        <v>109</v>
      </c>
      <c r="CB9" s="58">
        <v>47</v>
      </c>
      <c r="CC9" s="58">
        <v>142</v>
      </c>
      <c r="CD9" s="58">
        <v>145</v>
      </c>
      <c r="CE9" s="58">
        <v>163</v>
      </c>
      <c r="CF9" s="58">
        <v>52</v>
      </c>
      <c r="CG9" s="58">
        <v>88</v>
      </c>
      <c r="CH9" s="58">
        <v>133</v>
      </c>
      <c r="CI9" s="58">
        <v>127</v>
      </c>
      <c r="CJ9" s="58">
        <v>176</v>
      </c>
      <c r="CK9" s="58">
        <v>71</v>
      </c>
      <c r="CL9" s="58">
        <v>83</v>
      </c>
      <c r="CM9" s="58">
        <v>81</v>
      </c>
      <c r="CN9" s="58">
        <v>121</v>
      </c>
      <c r="CO9" s="58">
        <v>54</v>
      </c>
      <c r="CP9" s="58">
        <v>105</v>
      </c>
      <c r="CQ9" s="58">
        <v>112</v>
      </c>
      <c r="CR9" s="58">
        <v>212</v>
      </c>
      <c r="CS9" s="58">
        <v>76</v>
      </c>
      <c r="CT9" s="58">
        <v>75</v>
      </c>
      <c r="CU9" s="58">
        <v>105</v>
      </c>
      <c r="CV9" s="58">
        <v>174</v>
      </c>
      <c r="CW9" s="58">
        <v>164</v>
      </c>
      <c r="CX9" s="58">
        <v>72</v>
      </c>
      <c r="CY9" s="58">
        <v>91</v>
      </c>
      <c r="CZ9" s="58">
        <v>179</v>
      </c>
      <c r="DA9" s="58">
        <v>111</v>
      </c>
      <c r="DB9" s="58">
        <v>57</v>
      </c>
      <c r="DC9" s="58">
        <v>89</v>
      </c>
      <c r="DD9" s="58">
        <v>153</v>
      </c>
      <c r="DE9" s="58">
        <v>86</v>
      </c>
      <c r="DF9" s="58">
        <v>114</v>
      </c>
      <c r="DG9" s="58">
        <v>39</v>
      </c>
      <c r="DH9" s="58">
        <v>107</v>
      </c>
      <c r="DI9" s="58">
        <v>86</v>
      </c>
      <c r="DJ9" s="58">
        <v>141</v>
      </c>
      <c r="DK9" s="58">
        <v>59</v>
      </c>
      <c r="DL9" s="58">
        <v>49</v>
      </c>
      <c r="DM9" s="58">
        <v>130</v>
      </c>
      <c r="DN9" s="58">
        <v>205</v>
      </c>
      <c r="DO9" s="58">
        <v>77</v>
      </c>
      <c r="DP9" s="58">
        <v>54</v>
      </c>
      <c r="DQ9" s="58">
        <v>143</v>
      </c>
      <c r="DR9" s="58">
        <v>183</v>
      </c>
      <c r="DS9" s="58">
        <v>362</v>
      </c>
      <c r="DT9" s="58">
        <v>730</v>
      </c>
      <c r="DU9" s="58">
        <v>842</v>
      </c>
      <c r="DV9" s="58">
        <v>935</v>
      </c>
      <c r="DW9" s="58">
        <v>1292</v>
      </c>
      <c r="DX9" s="58">
        <v>461</v>
      </c>
      <c r="DY9" s="58">
        <v>788</v>
      </c>
      <c r="DZ9" s="58">
        <v>676</v>
      </c>
      <c r="EA9" s="58">
        <v>600</v>
      </c>
      <c r="EB9" s="58">
        <v>292</v>
      </c>
      <c r="EC9" s="58">
        <v>334</v>
      </c>
      <c r="ED9" s="58">
        <v>555</v>
      </c>
      <c r="EE9" s="58">
        <v>891</v>
      </c>
      <c r="EF9" s="58">
        <v>685</v>
      </c>
      <c r="EG9" s="58">
        <v>501</v>
      </c>
      <c r="EH9" s="58">
        <v>1010</v>
      </c>
      <c r="EI9" s="58">
        <v>1026</v>
      </c>
      <c r="EJ9" s="58">
        <v>966</v>
      </c>
      <c r="EK9" s="58">
        <v>770</v>
      </c>
      <c r="EL9" s="58">
        <v>869</v>
      </c>
      <c r="EM9" s="58">
        <v>854</v>
      </c>
      <c r="EN9" s="58">
        <v>1417</v>
      </c>
      <c r="EO9" s="58">
        <v>1033</v>
      </c>
      <c r="EP9" s="58">
        <v>619</v>
      </c>
    </row>
    <row r="10" spans="1:146" x14ac:dyDescent="0.3">
      <c r="A10" s="65" t="s">
        <v>165</v>
      </c>
      <c r="B10" s="61">
        <v>57</v>
      </c>
      <c r="C10" s="61">
        <v>67</v>
      </c>
      <c r="D10" s="58">
        <v>111</v>
      </c>
      <c r="E10" s="58">
        <v>143</v>
      </c>
      <c r="F10" s="58">
        <v>142</v>
      </c>
      <c r="G10" s="58">
        <v>69</v>
      </c>
      <c r="H10" s="58">
        <v>101</v>
      </c>
      <c r="I10" s="91">
        <v>117</v>
      </c>
      <c r="J10" s="91">
        <v>73</v>
      </c>
      <c r="K10" s="91">
        <v>104</v>
      </c>
      <c r="L10" s="91">
        <v>147</v>
      </c>
      <c r="M10" s="91">
        <v>94</v>
      </c>
      <c r="N10" s="91">
        <v>79</v>
      </c>
      <c r="O10" s="91">
        <v>148</v>
      </c>
      <c r="P10" s="91">
        <v>120</v>
      </c>
      <c r="Q10" s="91">
        <v>189</v>
      </c>
      <c r="R10" s="91">
        <v>200</v>
      </c>
      <c r="S10" s="91">
        <v>101</v>
      </c>
      <c r="T10" s="91">
        <v>120</v>
      </c>
      <c r="U10" s="91">
        <v>91</v>
      </c>
      <c r="V10" s="91">
        <v>71</v>
      </c>
      <c r="W10" s="91">
        <v>91</v>
      </c>
      <c r="X10" s="91">
        <v>113</v>
      </c>
      <c r="Y10" s="91">
        <v>123</v>
      </c>
      <c r="Z10" s="91">
        <v>135</v>
      </c>
      <c r="AA10" s="91">
        <v>215</v>
      </c>
      <c r="AB10" s="91">
        <v>171</v>
      </c>
      <c r="AC10" s="91">
        <v>174</v>
      </c>
      <c r="AD10" s="91">
        <v>213</v>
      </c>
      <c r="AE10" s="91">
        <v>153</v>
      </c>
      <c r="AF10" s="91">
        <v>102</v>
      </c>
      <c r="AG10" s="91">
        <v>86</v>
      </c>
      <c r="AH10" s="91">
        <v>131</v>
      </c>
      <c r="AI10" s="91">
        <v>92</v>
      </c>
      <c r="AJ10" s="91">
        <v>79</v>
      </c>
      <c r="AK10" s="91">
        <v>64</v>
      </c>
      <c r="AL10" s="91">
        <v>80</v>
      </c>
      <c r="AM10" s="91">
        <v>73</v>
      </c>
      <c r="AN10" s="91">
        <v>79</v>
      </c>
      <c r="AO10" s="91">
        <v>84</v>
      </c>
      <c r="AP10" s="99">
        <v>60</v>
      </c>
      <c r="AQ10" s="99">
        <f>221-80</f>
        <v>141</v>
      </c>
      <c r="AR10" s="91">
        <v>122</v>
      </c>
      <c r="AS10" s="91">
        <v>86</v>
      </c>
      <c r="AT10" s="91">
        <v>71</v>
      </c>
      <c r="AU10" s="91">
        <v>132</v>
      </c>
      <c r="AV10" s="91">
        <v>61</v>
      </c>
      <c r="AW10" s="91">
        <v>118</v>
      </c>
      <c r="AX10" s="91">
        <v>61</v>
      </c>
      <c r="AY10" s="91">
        <v>152</v>
      </c>
      <c r="AZ10" s="91">
        <v>92</v>
      </c>
      <c r="BA10" s="91">
        <v>85</v>
      </c>
      <c r="BB10" s="91">
        <v>112</v>
      </c>
      <c r="BC10" s="91">
        <v>189</v>
      </c>
      <c r="BD10" s="91">
        <v>130</v>
      </c>
      <c r="BE10" s="91">
        <v>82</v>
      </c>
      <c r="BF10" s="91">
        <v>85</v>
      </c>
      <c r="BG10" s="91">
        <v>158</v>
      </c>
      <c r="BH10" s="91">
        <v>113</v>
      </c>
      <c r="BI10" s="91">
        <v>170</v>
      </c>
      <c r="BJ10" s="58">
        <v>105</v>
      </c>
      <c r="BK10" s="58">
        <v>96</v>
      </c>
      <c r="BL10" s="58">
        <v>288</v>
      </c>
      <c r="BM10" s="58">
        <v>217</v>
      </c>
      <c r="BN10" s="58">
        <v>203</v>
      </c>
      <c r="BO10" s="58">
        <v>198</v>
      </c>
      <c r="BP10" s="58">
        <v>152</v>
      </c>
      <c r="BQ10" s="58">
        <v>145</v>
      </c>
      <c r="BR10" s="58">
        <v>150</v>
      </c>
      <c r="BS10" s="58">
        <v>293</v>
      </c>
      <c r="BT10" s="58">
        <v>282</v>
      </c>
      <c r="BU10" s="58">
        <v>229</v>
      </c>
      <c r="BV10" s="58">
        <v>304</v>
      </c>
      <c r="BW10" s="58">
        <v>152</v>
      </c>
      <c r="BX10" s="58">
        <v>132</v>
      </c>
      <c r="BY10" s="58">
        <v>155</v>
      </c>
      <c r="BZ10" s="58">
        <v>169</v>
      </c>
      <c r="CA10" s="58">
        <v>181</v>
      </c>
      <c r="CB10" s="58">
        <v>93</v>
      </c>
      <c r="CC10" s="58">
        <v>95</v>
      </c>
      <c r="CD10" s="58">
        <v>93</v>
      </c>
      <c r="CE10" s="58">
        <v>66</v>
      </c>
      <c r="CF10" s="58">
        <v>280</v>
      </c>
      <c r="CG10" s="58">
        <v>95</v>
      </c>
      <c r="CH10" s="58">
        <v>101</v>
      </c>
      <c r="CI10" s="58">
        <v>95</v>
      </c>
      <c r="CJ10" s="58">
        <v>186</v>
      </c>
      <c r="CK10" s="58">
        <v>92</v>
      </c>
      <c r="CL10" s="58">
        <v>189</v>
      </c>
      <c r="CM10" s="58">
        <v>105</v>
      </c>
      <c r="CN10" s="58">
        <v>102</v>
      </c>
      <c r="CO10" s="58">
        <v>115</v>
      </c>
      <c r="CP10" s="58">
        <v>46</v>
      </c>
      <c r="CQ10" s="58">
        <v>103</v>
      </c>
      <c r="CR10" s="58">
        <v>232</v>
      </c>
      <c r="CS10" s="58">
        <v>129</v>
      </c>
      <c r="CT10" s="58">
        <v>520</v>
      </c>
      <c r="CU10" s="58">
        <v>51</v>
      </c>
      <c r="CV10" s="58">
        <v>69</v>
      </c>
      <c r="CW10" s="58">
        <v>45</v>
      </c>
      <c r="CX10" s="58">
        <v>151</v>
      </c>
      <c r="CY10" s="58">
        <v>91</v>
      </c>
      <c r="CZ10" s="58">
        <v>70</v>
      </c>
      <c r="DA10" s="58">
        <v>5440</v>
      </c>
      <c r="DB10" s="58">
        <v>143</v>
      </c>
      <c r="DC10" s="58">
        <v>100</v>
      </c>
      <c r="DD10" s="58">
        <v>136</v>
      </c>
      <c r="DE10" s="58">
        <v>175</v>
      </c>
      <c r="DF10" s="58">
        <v>2746</v>
      </c>
      <c r="DG10" s="58">
        <v>170</v>
      </c>
      <c r="DH10" s="58">
        <v>142</v>
      </c>
      <c r="DI10" s="58">
        <v>158</v>
      </c>
      <c r="DJ10" s="58">
        <v>106</v>
      </c>
      <c r="DK10" s="58">
        <v>125</v>
      </c>
      <c r="DL10" s="58">
        <v>117</v>
      </c>
      <c r="DM10" s="58">
        <v>272</v>
      </c>
      <c r="DN10" s="58">
        <v>175</v>
      </c>
      <c r="DO10" s="58">
        <v>155</v>
      </c>
      <c r="DP10" s="58">
        <v>94</v>
      </c>
      <c r="DQ10" s="58">
        <v>246</v>
      </c>
      <c r="DR10" s="58">
        <v>236</v>
      </c>
      <c r="DS10" s="58">
        <v>200</v>
      </c>
      <c r="DT10" s="58">
        <v>270</v>
      </c>
      <c r="DU10" s="58">
        <v>338</v>
      </c>
      <c r="DV10" s="58">
        <v>369</v>
      </c>
      <c r="DW10" s="58">
        <v>260</v>
      </c>
      <c r="DX10" s="58">
        <v>192</v>
      </c>
      <c r="DY10" s="58">
        <v>214</v>
      </c>
      <c r="DZ10" s="58">
        <v>425</v>
      </c>
      <c r="EA10" s="58">
        <v>269</v>
      </c>
      <c r="EB10" s="58">
        <v>260</v>
      </c>
      <c r="EC10" s="58">
        <v>386</v>
      </c>
      <c r="ED10" s="58">
        <v>436</v>
      </c>
      <c r="EE10" s="58">
        <v>459</v>
      </c>
      <c r="EF10" s="58">
        <v>456</v>
      </c>
      <c r="EG10" s="58">
        <v>216</v>
      </c>
      <c r="EH10" s="58">
        <v>253</v>
      </c>
      <c r="EI10" s="58">
        <v>391</v>
      </c>
      <c r="EJ10" s="58">
        <v>239</v>
      </c>
      <c r="EK10" s="58">
        <v>267</v>
      </c>
      <c r="EL10" s="58">
        <v>280</v>
      </c>
      <c r="EM10" s="58">
        <v>602</v>
      </c>
      <c r="EN10" s="58">
        <v>20</v>
      </c>
      <c r="EO10" s="58">
        <v>66</v>
      </c>
      <c r="EP10" s="58">
        <v>38</v>
      </c>
    </row>
    <row r="11" spans="1:146" x14ac:dyDescent="0.3">
      <c r="AJ11" s="93"/>
    </row>
    <row r="12" spans="1:146" x14ac:dyDescent="0.3">
      <c r="A12" s="67" t="s">
        <v>166</v>
      </c>
      <c r="B12" s="60" t="s">
        <v>163</v>
      </c>
      <c r="C12" s="60" t="s">
        <v>68</v>
      </c>
      <c r="D12" s="60" t="s">
        <v>69</v>
      </c>
      <c r="E12" s="60" t="s">
        <v>70</v>
      </c>
      <c r="F12" s="60" t="s">
        <v>71</v>
      </c>
      <c r="G12" s="60" t="s">
        <v>72</v>
      </c>
      <c r="H12" s="60" t="s">
        <v>73</v>
      </c>
      <c r="I12" s="60" t="s">
        <v>74</v>
      </c>
      <c r="J12" s="60" t="s">
        <v>75</v>
      </c>
      <c r="K12" s="60" t="s">
        <v>76</v>
      </c>
      <c r="L12" s="60" t="s">
        <v>77</v>
      </c>
      <c r="M12" s="60" t="s">
        <v>78</v>
      </c>
      <c r="N12" s="60" t="s">
        <v>79</v>
      </c>
      <c r="O12" s="60" t="s">
        <v>80</v>
      </c>
      <c r="P12" s="93" t="s">
        <v>81</v>
      </c>
      <c r="Q12" s="93" t="s">
        <v>82</v>
      </c>
      <c r="R12" s="93" t="s">
        <v>83</v>
      </c>
      <c r="S12" s="93" t="s">
        <v>84</v>
      </c>
      <c r="T12" s="93" t="s">
        <v>85</v>
      </c>
      <c r="U12" s="93" t="s">
        <v>86</v>
      </c>
      <c r="V12" s="93" t="s">
        <v>87</v>
      </c>
      <c r="W12" s="93" t="s">
        <v>88</v>
      </c>
      <c r="X12" s="93" t="s">
        <v>89</v>
      </c>
      <c r="Y12" s="93" t="s">
        <v>90</v>
      </c>
      <c r="Z12" s="93" t="s">
        <v>91</v>
      </c>
      <c r="AA12" s="93" t="s">
        <v>92</v>
      </c>
      <c r="AB12" s="93" t="s">
        <v>93</v>
      </c>
      <c r="AC12" s="93" t="s">
        <v>94</v>
      </c>
      <c r="AD12" s="93" t="s">
        <v>95</v>
      </c>
      <c r="AE12" s="93" t="s">
        <v>96</v>
      </c>
      <c r="AF12" s="93" t="s">
        <v>97</v>
      </c>
      <c r="AG12" s="93" t="s">
        <v>46</v>
      </c>
      <c r="AH12" s="93" t="s">
        <v>47</v>
      </c>
      <c r="AI12" s="93" t="s">
        <v>48</v>
      </c>
      <c r="AJ12" s="93" t="s">
        <v>49</v>
      </c>
      <c r="AK12" s="93" t="s">
        <v>50</v>
      </c>
      <c r="AL12" s="93" t="s">
        <v>51</v>
      </c>
      <c r="AM12" s="93" t="s">
        <v>52</v>
      </c>
      <c r="AN12" s="93" t="s">
        <v>53</v>
      </c>
      <c r="AO12" s="93" t="s">
        <v>54</v>
      </c>
      <c r="AP12" s="93" t="s">
        <v>55</v>
      </c>
      <c r="AQ12" s="93" t="s">
        <v>56</v>
      </c>
      <c r="AR12" s="93" t="s">
        <v>57</v>
      </c>
      <c r="AS12" s="93" t="s">
        <v>58</v>
      </c>
      <c r="AT12" s="93" t="s">
        <v>59</v>
      </c>
      <c r="AU12" s="93" t="s">
        <v>60</v>
      </c>
      <c r="AV12" s="93" t="s">
        <v>61</v>
      </c>
      <c r="AW12" s="93" t="s">
        <v>62</v>
      </c>
      <c r="AX12" s="93" t="s">
        <v>63</v>
      </c>
      <c r="AY12" s="93" t="s">
        <v>64</v>
      </c>
      <c r="AZ12" s="93" t="s">
        <v>65</v>
      </c>
      <c r="BA12" s="93" t="s">
        <v>66</v>
      </c>
      <c r="BB12" s="93" t="s">
        <v>67</v>
      </c>
      <c r="BC12" s="93" t="s">
        <v>68</v>
      </c>
      <c r="BD12" s="93" t="s">
        <v>69</v>
      </c>
      <c r="BE12" s="93" t="s">
        <v>70</v>
      </c>
      <c r="BF12" s="93" t="s">
        <v>71</v>
      </c>
      <c r="BG12" s="93" t="s">
        <v>72</v>
      </c>
      <c r="BH12" s="93" t="s">
        <v>73</v>
      </c>
      <c r="BI12" s="93" t="s">
        <v>74</v>
      </c>
      <c r="BJ12" s="93" t="s">
        <v>75</v>
      </c>
      <c r="BK12" s="93" t="s">
        <v>76</v>
      </c>
      <c r="BL12" s="93" t="s">
        <v>77</v>
      </c>
      <c r="BM12" s="93" t="s">
        <v>78</v>
      </c>
      <c r="BN12" s="93" t="s">
        <v>79</v>
      </c>
      <c r="BO12" s="93" t="s">
        <v>80</v>
      </c>
      <c r="BP12" s="93" t="s">
        <v>210</v>
      </c>
      <c r="BQ12" s="93" t="s">
        <v>211</v>
      </c>
      <c r="BR12" s="93" t="s">
        <v>212</v>
      </c>
      <c r="BS12" s="93" t="s">
        <v>213</v>
      </c>
      <c r="BT12" s="93" t="s">
        <v>214</v>
      </c>
      <c r="BU12" s="93" t="s">
        <v>216</v>
      </c>
      <c r="BV12" s="93" t="s">
        <v>217</v>
      </c>
      <c r="BW12" s="93" t="s">
        <v>218</v>
      </c>
      <c r="BX12" s="93" t="s">
        <v>220</v>
      </c>
      <c r="BY12" s="93" t="s">
        <v>90</v>
      </c>
      <c r="BZ12" s="93" t="s">
        <v>91</v>
      </c>
      <c r="CA12" s="93" t="s">
        <v>92</v>
      </c>
      <c r="CB12" s="93" t="s">
        <v>93</v>
      </c>
      <c r="CC12" s="93" t="s">
        <v>94</v>
      </c>
      <c r="CD12" s="93" t="s">
        <v>95</v>
      </c>
      <c r="CE12" s="93" t="s">
        <v>96</v>
      </c>
      <c r="CF12" s="93" t="s">
        <v>97</v>
      </c>
      <c r="CG12" s="93" t="s">
        <v>46</v>
      </c>
      <c r="CH12" s="93" t="s">
        <v>47</v>
      </c>
      <c r="CI12" s="93" t="s">
        <v>48</v>
      </c>
      <c r="CJ12" s="93" t="s">
        <v>49</v>
      </c>
      <c r="CK12" s="93" t="s">
        <v>50</v>
      </c>
      <c r="CL12" s="93" t="s">
        <v>51</v>
      </c>
      <c r="CM12" s="93" t="s">
        <v>52</v>
      </c>
      <c r="CN12" s="93" t="s">
        <v>53</v>
      </c>
      <c r="CO12" s="93" t="s">
        <v>54</v>
      </c>
      <c r="CP12" s="93" t="s">
        <v>55</v>
      </c>
      <c r="CQ12" s="93" t="s">
        <v>56</v>
      </c>
      <c r="CR12" s="93" t="s">
        <v>57</v>
      </c>
      <c r="CS12" s="93" t="s">
        <v>58</v>
      </c>
      <c r="CT12" s="93" t="s">
        <v>59</v>
      </c>
      <c r="CU12" s="93" t="s">
        <v>60</v>
      </c>
      <c r="CV12" s="93" t="s">
        <v>61</v>
      </c>
      <c r="CW12" s="93" t="s">
        <v>62</v>
      </c>
      <c r="CX12" s="93" t="s">
        <v>63</v>
      </c>
      <c r="CY12" s="93" t="s">
        <v>64</v>
      </c>
      <c r="CZ12" s="93" t="s">
        <v>65</v>
      </c>
      <c r="DA12" s="93" t="s">
        <v>66</v>
      </c>
      <c r="DB12" s="93" t="s">
        <v>67</v>
      </c>
      <c r="DC12" s="93" t="s">
        <v>68</v>
      </c>
      <c r="DD12" s="93" t="s">
        <v>69</v>
      </c>
      <c r="DE12" s="93" t="s">
        <v>70</v>
      </c>
      <c r="DF12" s="93" t="s">
        <v>71</v>
      </c>
      <c r="DG12" s="93" t="s">
        <v>72</v>
      </c>
      <c r="DH12" s="93" t="s">
        <v>73</v>
      </c>
      <c r="DI12" s="93" t="s">
        <v>74</v>
      </c>
      <c r="DJ12" s="93" t="s">
        <v>75</v>
      </c>
      <c r="DK12" s="93" t="s">
        <v>76</v>
      </c>
      <c r="DL12" s="93" t="s">
        <v>77</v>
      </c>
      <c r="DM12" s="93" t="s">
        <v>78</v>
      </c>
      <c r="DN12" s="93" t="s">
        <v>79</v>
      </c>
      <c r="DO12" s="93" t="s">
        <v>80</v>
      </c>
      <c r="DP12" s="93" t="s">
        <v>210</v>
      </c>
      <c r="DQ12" s="93" t="s">
        <v>211</v>
      </c>
      <c r="DR12" s="93" t="s">
        <v>212</v>
      </c>
      <c r="DS12" s="93" t="s">
        <v>213</v>
      </c>
      <c r="DT12" s="93" t="s">
        <v>214</v>
      </c>
      <c r="DU12" s="93" t="s">
        <v>216</v>
      </c>
      <c r="DV12" s="93" t="s">
        <v>217</v>
      </c>
      <c r="DW12" s="93" t="s">
        <v>218</v>
      </c>
      <c r="DX12" s="93" t="s">
        <v>220</v>
      </c>
      <c r="DY12" s="93" t="s">
        <v>90</v>
      </c>
      <c r="DZ12" s="93" t="s">
        <v>91</v>
      </c>
      <c r="EA12" s="93" t="s">
        <v>92</v>
      </c>
      <c r="EB12" s="93" t="s">
        <v>93</v>
      </c>
      <c r="EC12" s="93" t="s">
        <v>94</v>
      </c>
      <c r="ED12" s="93" t="s">
        <v>95</v>
      </c>
      <c r="EE12" s="93" t="s">
        <v>96</v>
      </c>
      <c r="EF12" s="93" t="s">
        <v>97</v>
      </c>
      <c r="EG12" s="93" t="s">
        <v>46</v>
      </c>
      <c r="EH12" s="93" t="s">
        <v>47</v>
      </c>
      <c r="EI12" s="93" t="s">
        <v>48</v>
      </c>
      <c r="EJ12" s="93" t="s">
        <v>49</v>
      </c>
      <c r="EK12" s="93" t="s">
        <v>50</v>
      </c>
      <c r="EL12" s="93" t="s">
        <v>51</v>
      </c>
      <c r="EM12" s="93" t="s">
        <v>52</v>
      </c>
      <c r="EN12" s="93" t="s">
        <v>53</v>
      </c>
      <c r="EO12" s="93" t="s">
        <v>54</v>
      </c>
      <c r="EP12" s="93" t="s">
        <v>55</v>
      </c>
    </row>
    <row r="13" spans="1:146" x14ac:dyDescent="0.3">
      <c r="A13" s="65" t="s">
        <v>167</v>
      </c>
      <c r="B13" s="107">
        <v>95</v>
      </c>
      <c r="C13" s="107">
        <v>159</v>
      </c>
      <c r="D13" s="107">
        <v>151</v>
      </c>
      <c r="E13" s="107">
        <v>228</v>
      </c>
      <c r="F13" s="58">
        <v>303</v>
      </c>
      <c r="G13" s="58">
        <v>128</v>
      </c>
      <c r="H13" s="58">
        <v>196</v>
      </c>
      <c r="I13" s="58">
        <v>172</v>
      </c>
      <c r="J13" s="58">
        <v>101</v>
      </c>
      <c r="K13" s="58">
        <v>152</v>
      </c>
      <c r="L13" s="58">
        <v>164</v>
      </c>
      <c r="M13" s="58">
        <v>114</v>
      </c>
      <c r="N13" s="58">
        <v>102</v>
      </c>
      <c r="O13" s="91">
        <v>161</v>
      </c>
      <c r="P13" s="91">
        <v>180</v>
      </c>
      <c r="Q13" s="91">
        <v>310</v>
      </c>
      <c r="R13" s="91">
        <v>249</v>
      </c>
      <c r="S13" s="91">
        <v>230</v>
      </c>
      <c r="T13" s="91">
        <v>157</v>
      </c>
      <c r="U13" s="91">
        <v>153</v>
      </c>
      <c r="V13" s="91">
        <v>132</v>
      </c>
      <c r="W13" s="91">
        <v>146</v>
      </c>
      <c r="X13" s="91">
        <v>174</v>
      </c>
      <c r="Y13" s="91">
        <v>204</v>
      </c>
      <c r="Z13" s="91">
        <v>185</v>
      </c>
      <c r="AA13" s="58">
        <v>223</v>
      </c>
      <c r="AB13" s="91">
        <v>218</v>
      </c>
      <c r="AC13" s="58">
        <v>247</v>
      </c>
      <c r="AD13" s="58">
        <v>328</v>
      </c>
      <c r="AE13" s="58">
        <v>179</v>
      </c>
      <c r="AF13" s="58">
        <v>135</v>
      </c>
      <c r="AG13" s="58">
        <v>144</v>
      </c>
      <c r="AH13" s="91">
        <v>180</v>
      </c>
      <c r="AI13" s="91">
        <v>123</v>
      </c>
      <c r="AJ13" s="91">
        <v>186</v>
      </c>
      <c r="AK13" s="91">
        <v>93</v>
      </c>
      <c r="AL13" s="91">
        <v>185</v>
      </c>
      <c r="AM13" s="91">
        <v>178</v>
      </c>
      <c r="AN13" s="91">
        <v>183</v>
      </c>
      <c r="AO13" s="91">
        <v>144</v>
      </c>
      <c r="AP13" s="91">
        <v>234</v>
      </c>
      <c r="AQ13" s="91">
        <v>233</v>
      </c>
      <c r="AR13" s="91">
        <v>207</v>
      </c>
      <c r="AS13" s="91">
        <v>137</v>
      </c>
      <c r="AT13" s="91">
        <v>190</v>
      </c>
      <c r="AU13" s="91">
        <v>278</v>
      </c>
      <c r="AV13" s="91">
        <v>124</v>
      </c>
      <c r="AW13" s="91">
        <v>203</v>
      </c>
      <c r="AX13" s="91">
        <v>169</v>
      </c>
      <c r="AY13" s="91">
        <v>122</v>
      </c>
      <c r="AZ13" s="91">
        <v>173</v>
      </c>
      <c r="BA13" s="91">
        <v>163</v>
      </c>
      <c r="BB13" s="91">
        <v>150</v>
      </c>
      <c r="BC13" s="91">
        <v>265</v>
      </c>
      <c r="BD13" s="91">
        <v>147</v>
      </c>
      <c r="BE13" s="91">
        <v>297</v>
      </c>
      <c r="BF13" s="91">
        <v>152</v>
      </c>
      <c r="BG13" s="91">
        <v>247</v>
      </c>
      <c r="BH13" s="91">
        <v>266</v>
      </c>
      <c r="BI13" s="91">
        <v>213</v>
      </c>
      <c r="BJ13" s="58">
        <v>130</v>
      </c>
      <c r="BK13" s="58">
        <v>312</v>
      </c>
      <c r="BL13" s="58">
        <v>324</v>
      </c>
      <c r="BM13" s="58">
        <v>330</v>
      </c>
      <c r="BN13" s="58">
        <v>246</v>
      </c>
      <c r="BO13" s="58">
        <v>134</v>
      </c>
      <c r="BP13" s="58">
        <v>245</v>
      </c>
      <c r="BQ13" s="58">
        <v>211</v>
      </c>
      <c r="BR13" s="58">
        <v>262</v>
      </c>
      <c r="BS13" s="58">
        <v>390</v>
      </c>
      <c r="BT13" s="58">
        <v>446</v>
      </c>
      <c r="BU13" s="58">
        <v>414</v>
      </c>
      <c r="BV13" s="58">
        <v>322</v>
      </c>
      <c r="BW13" s="58">
        <v>170</v>
      </c>
      <c r="BX13" s="58">
        <v>366</v>
      </c>
      <c r="BY13" s="58">
        <v>163</v>
      </c>
      <c r="BZ13" s="58">
        <v>164</v>
      </c>
      <c r="CA13" s="58">
        <v>269</v>
      </c>
      <c r="CB13" s="58">
        <v>125</v>
      </c>
      <c r="CC13" s="58">
        <v>239</v>
      </c>
      <c r="CD13" s="58">
        <v>209</v>
      </c>
      <c r="CE13" s="58">
        <v>228</v>
      </c>
      <c r="CF13" s="58">
        <v>143</v>
      </c>
      <c r="CG13" s="58">
        <v>256</v>
      </c>
      <c r="CH13" s="58">
        <v>245</v>
      </c>
      <c r="CI13" s="58">
        <v>200</v>
      </c>
      <c r="CJ13" s="58">
        <v>259</v>
      </c>
      <c r="CK13" s="58">
        <v>153</v>
      </c>
      <c r="CL13" s="58">
        <v>274</v>
      </c>
      <c r="CM13" s="58">
        <v>165</v>
      </c>
      <c r="CN13" s="58">
        <v>205</v>
      </c>
      <c r="CO13" s="58">
        <v>134</v>
      </c>
      <c r="CP13" s="58">
        <v>156</v>
      </c>
      <c r="CQ13" s="58">
        <v>266</v>
      </c>
      <c r="CR13" s="58">
        <v>397</v>
      </c>
      <c r="CS13" s="58">
        <v>156</v>
      </c>
      <c r="CT13" s="58">
        <v>591</v>
      </c>
      <c r="CU13" s="58">
        <v>151</v>
      </c>
      <c r="CV13" s="58">
        <v>242</v>
      </c>
      <c r="CW13" s="58">
        <v>204</v>
      </c>
      <c r="CX13" s="58">
        <v>204</v>
      </c>
      <c r="CY13" s="58">
        <v>132</v>
      </c>
      <c r="CZ13" s="58">
        <v>267</v>
      </c>
      <c r="DA13" s="58">
        <v>5526</v>
      </c>
      <c r="DB13" s="58">
        <v>188</v>
      </c>
      <c r="DC13" s="58">
        <v>204</v>
      </c>
      <c r="DD13" s="58">
        <v>275</v>
      </c>
      <c r="DE13" s="58">
        <v>272</v>
      </c>
      <c r="DF13" s="58">
        <v>2851</v>
      </c>
      <c r="DG13" s="58">
        <v>199</v>
      </c>
      <c r="DH13" s="58">
        <v>268</v>
      </c>
      <c r="DI13" s="58">
        <v>214</v>
      </c>
      <c r="DJ13" s="58">
        <v>223</v>
      </c>
      <c r="DK13" s="58">
        <v>190</v>
      </c>
      <c r="DL13" s="58">
        <v>233</v>
      </c>
      <c r="DM13" s="58">
        <v>376</v>
      </c>
      <c r="DN13" s="58">
        <v>347</v>
      </c>
      <c r="DO13" s="58">
        <v>198</v>
      </c>
      <c r="DP13" s="58">
        <v>139</v>
      </c>
      <c r="DQ13" s="58">
        <v>411</v>
      </c>
      <c r="DR13" s="58">
        <v>389</v>
      </c>
      <c r="DS13" s="58">
        <v>690</v>
      </c>
      <c r="DT13" s="58">
        <v>909</v>
      </c>
      <c r="DU13" s="58">
        <v>1215</v>
      </c>
      <c r="DV13" s="58">
        <v>1097</v>
      </c>
      <c r="DW13" s="58">
        <v>1240</v>
      </c>
      <c r="DX13" s="58">
        <v>556</v>
      </c>
      <c r="DY13" s="58">
        <v>901</v>
      </c>
      <c r="DZ13" s="58">
        <v>1065</v>
      </c>
      <c r="EA13" s="58">
        <v>771</v>
      </c>
      <c r="EB13" s="58">
        <v>543</v>
      </c>
      <c r="EC13" s="58">
        <v>603</v>
      </c>
      <c r="ED13" s="58">
        <v>900</v>
      </c>
      <c r="EE13" s="58">
        <v>1311</v>
      </c>
      <c r="EF13" s="58">
        <v>897</v>
      </c>
      <c r="EG13" s="58">
        <v>861</v>
      </c>
      <c r="EH13" s="58">
        <v>1291</v>
      </c>
      <c r="EI13" s="58">
        <v>1086</v>
      </c>
      <c r="EJ13" s="58">
        <v>834</v>
      </c>
      <c r="EK13" s="58">
        <v>839</v>
      </c>
      <c r="EL13" s="58">
        <v>1146</v>
      </c>
      <c r="EM13" s="58">
        <v>1457</v>
      </c>
      <c r="EN13" s="58">
        <v>1422</v>
      </c>
      <c r="EO13" s="58">
        <v>1099</v>
      </c>
      <c r="EP13" s="58">
        <v>669</v>
      </c>
    </row>
    <row r="14" spans="1:146" x14ac:dyDescent="0.3">
      <c r="A14" s="65" t="s">
        <v>168</v>
      </c>
      <c r="B14" s="107">
        <v>109</v>
      </c>
      <c r="C14" s="107">
        <v>152</v>
      </c>
      <c r="D14" s="107">
        <v>174</v>
      </c>
      <c r="E14" s="107">
        <v>248</v>
      </c>
      <c r="F14" s="58">
        <v>322</v>
      </c>
      <c r="G14" s="58">
        <v>155</v>
      </c>
      <c r="H14" s="58">
        <v>219</v>
      </c>
      <c r="I14" s="58">
        <v>197</v>
      </c>
      <c r="J14" s="58">
        <v>114</v>
      </c>
      <c r="K14" s="58">
        <v>164</v>
      </c>
      <c r="L14" s="58">
        <v>192</v>
      </c>
      <c r="M14" s="58">
        <v>132</v>
      </c>
      <c r="N14" s="58">
        <v>117</v>
      </c>
      <c r="O14" s="91">
        <v>162</v>
      </c>
      <c r="P14" s="91">
        <v>156</v>
      </c>
      <c r="Q14" s="91">
        <v>297</v>
      </c>
      <c r="R14" s="91">
        <v>305</v>
      </c>
      <c r="S14" s="91">
        <v>245</v>
      </c>
      <c r="T14" s="91">
        <v>180</v>
      </c>
      <c r="U14" s="91">
        <v>163</v>
      </c>
      <c r="V14" s="91">
        <v>129</v>
      </c>
      <c r="W14" s="91">
        <v>152</v>
      </c>
      <c r="X14" s="91">
        <v>168</v>
      </c>
      <c r="Y14" s="91">
        <v>198</v>
      </c>
      <c r="Z14" s="91">
        <v>184</v>
      </c>
      <c r="AA14" s="91">
        <v>274</v>
      </c>
      <c r="AB14" s="91">
        <v>220</v>
      </c>
      <c r="AC14" s="62">
        <v>222</v>
      </c>
      <c r="AD14" s="62">
        <v>367</v>
      </c>
      <c r="AE14" s="62">
        <v>203</v>
      </c>
      <c r="AF14" s="62">
        <v>145</v>
      </c>
      <c r="AG14" s="58">
        <v>154</v>
      </c>
      <c r="AH14" s="91">
        <v>181</v>
      </c>
      <c r="AI14" s="91">
        <v>137</v>
      </c>
      <c r="AJ14" s="91">
        <v>194</v>
      </c>
      <c r="AK14" s="91">
        <v>98</v>
      </c>
      <c r="AL14" s="91">
        <v>145</v>
      </c>
      <c r="AM14" s="91">
        <v>181</v>
      </c>
      <c r="AN14" s="91">
        <v>188</v>
      </c>
      <c r="AO14" s="91">
        <v>149</v>
      </c>
      <c r="AP14" s="91">
        <v>180</v>
      </c>
      <c r="AQ14" s="91">
        <v>221</v>
      </c>
      <c r="AR14" s="91">
        <v>303</v>
      </c>
      <c r="AS14" s="91">
        <v>181</v>
      </c>
      <c r="AT14" s="91">
        <v>182</v>
      </c>
      <c r="AU14" s="91">
        <v>292</v>
      </c>
      <c r="AV14" s="91">
        <v>108</v>
      </c>
      <c r="AW14" s="91">
        <v>137</v>
      </c>
      <c r="AX14" s="91">
        <v>150</v>
      </c>
      <c r="AY14" s="91">
        <v>114</v>
      </c>
      <c r="AZ14" s="91">
        <v>142</v>
      </c>
      <c r="BA14" s="91">
        <v>106</v>
      </c>
      <c r="BB14" s="91">
        <v>117</v>
      </c>
      <c r="BC14" s="91">
        <v>237</v>
      </c>
      <c r="BD14" s="91">
        <v>117</v>
      </c>
      <c r="BE14" s="91">
        <v>174</v>
      </c>
      <c r="BF14" s="91">
        <v>108</v>
      </c>
      <c r="BG14" s="91">
        <v>181</v>
      </c>
      <c r="BH14" s="91">
        <v>181</v>
      </c>
      <c r="BI14" s="91">
        <v>170</v>
      </c>
      <c r="BJ14" s="58">
        <v>75</v>
      </c>
      <c r="BK14" s="58">
        <v>179</v>
      </c>
      <c r="BL14" s="58">
        <v>244</v>
      </c>
      <c r="BM14" s="58">
        <v>245</v>
      </c>
      <c r="BN14" s="58">
        <v>239</v>
      </c>
      <c r="BO14" s="58">
        <v>100</v>
      </c>
      <c r="BP14" s="58">
        <v>168</v>
      </c>
      <c r="BQ14" s="58">
        <v>124</v>
      </c>
      <c r="BR14" s="58">
        <v>143</v>
      </c>
      <c r="BS14" s="58">
        <v>332</v>
      </c>
      <c r="BT14" s="58">
        <v>341</v>
      </c>
      <c r="BU14" s="58">
        <v>314</v>
      </c>
      <c r="BV14" s="58">
        <v>138</v>
      </c>
      <c r="BW14" s="58">
        <v>113</v>
      </c>
      <c r="BX14" s="58">
        <v>141</v>
      </c>
      <c r="BY14" s="58">
        <v>84</v>
      </c>
      <c r="BZ14" s="58">
        <v>135</v>
      </c>
      <c r="CA14" s="58">
        <v>219</v>
      </c>
      <c r="CB14" s="58">
        <v>66</v>
      </c>
      <c r="CC14" s="58">
        <v>186</v>
      </c>
      <c r="CD14" s="58">
        <v>165</v>
      </c>
      <c r="CE14" s="58">
        <v>186</v>
      </c>
      <c r="CF14" s="58">
        <v>101</v>
      </c>
      <c r="CG14" s="58">
        <v>128</v>
      </c>
      <c r="CH14" s="58">
        <v>210</v>
      </c>
      <c r="CI14" s="58">
        <v>161</v>
      </c>
      <c r="CJ14" s="58">
        <v>223</v>
      </c>
      <c r="CK14" s="58">
        <v>148</v>
      </c>
      <c r="CL14" s="58">
        <v>260</v>
      </c>
      <c r="CM14" s="58">
        <v>156</v>
      </c>
      <c r="CN14" s="58">
        <v>158</v>
      </c>
      <c r="CO14" s="58">
        <v>123</v>
      </c>
      <c r="CP14" s="58">
        <v>120</v>
      </c>
      <c r="CQ14" s="58">
        <v>172</v>
      </c>
      <c r="CR14" s="58">
        <v>352</v>
      </c>
      <c r="CS14" s="58">
        <v>146</v>
      </c>
      <c r="CT14" s="58">
        <v>579</v>
      </c>
      <c r="CU14" s="58">
        <v>141</v>
      </c>
      <c r="CV14" s="58">
        <v>213</v>
      </c>
      <c r="CW14" s="58">
        <v>182</v>
      </c>
      <c r="CX14" s="58">
        <v>196</v>
      </c>
      <c r="CY14" s="58">
        <v>125</v>
      </c>
      <c r="CZ14" s="58">
        <v>246</v>
      </c>
      <c r="DA14" s="58">
        <v>5507</v>
      </c>
      <c r="DB14" s="58">
        <v>164</v>
      </c>
      <c r="DC14" s="58">
        <v>183</v>
      </c>
      <c r="DD14" s="58">
        <v>232</v>
      </c>
      <c r="DE14" s="58">
        <v>253</v>
      </c>
      <c r="DF14" s="58">
        <v>2790</v>
      </c>
      <c r="DG14" s="58">
        <v>196</v>
      </c>
      <c r="DH14" s="58">
        <v>193</v>
      </c>
      <c r="DI14" s="58">
        <v>157</v>
      </c>
      <c r="DJ14" s="58">
        <v>206</v>
      </c>
      <c r="DK14" s="58">
        <v>135</v>
      </c>
      <c r="DL14" s="58">
        <v>107</v>
      </c>
      <c r="DM14" s="58">
        <v>285</v>
      </c>
      <c r="DN14" s="58">
        <v>317</v>
      </c>
      <c r="DO14" s="58">
        <v>173</v>
      </c>
      <c r="DP14" s="58">
        <v>105</v>
      </c>
      <c r="DQ14" s="58">
        <v>392</v>
      </c>
      <c r="DR14" s="58">
        <v>353</v>
      </c>
      <c r="DS14" s="58">
        <v>571</v>
      </c>
      <c r="DT14" s="58">
        <v>849</v>
      </c>
      <c r="DU14" s="58">
        <v>1150</v>
      </c>
      <c r="DV14" s="58">
        <v>1038</v>
      </c>
      <c r="DW14" s="58">
        <v>1170</v>
      </c>
      <c r="DX14" s="58">
        <v>474</v>
      </c>
      <c r="DY14" s="58">
        <v>840</v>
      </c>
      <c r="DZ14" s="58">
        <v>926</v>
      </c>
      <c r="EA14" s="58">
        <v>729</v>
      </c>
      <c r="EB14" s="58">
        <v>510</v>
      </c>
      <c r="EC14" s="58">
        <v>495</v>
      </c>
      <c r="ED14" s="58">
        <v>849</v>
      </c>
      <c r="EE14" s="58">
        <v>1136</v>
      </c>
      <c r="EF14" s="58">
        <v>882</v>
      </c>
      <c r="EG14" s="58">
        <v>846</v>
      </c>
      <c r="EH14" s="58">
        <v>1227</v>
      </c>
      <c r="EI14" s="58">
        <v>1015</v>
      </c>
      <c r="EJ14" s="58">
        <v>790</v>
      </c>
      <c r="EK14" s="58">
        <v>777</v>
      </c>
      <c r="EL14" s="58">
        <v>1132</v>
      </c>
      <c r="EM14" s="58">
        <v>634</v>
      </c>
      <c r="EN14" s="58">
        <v>17</v>
      </c>
      <c r="EO14" s="58">
        <v>920</v>
      </c>
      <c r="EP14" s="58">
        <v>660</v>
      </c>
    </row>
  </sheetData>
  <phoneticPr fontId="7" type="noConversion"/>
  <pageMargins left="0.7" right="0.7" top="0.75" bottom="0.75" header="0.3" footer="0.3"/>
  <pageSetup orientation="portrait" horizontalDpi="90" verticalDpi="9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70"/>
  <sheetViews>
    <sheetView topLeftCell="E1" workbookViewId="0">
      <pane ySplit="1" topLeftCell="A208" activePane="bottomLeft" state="frozen"/>
      <selection pane="bottomLeft" activeCell="P173" sqref="P173"/>
    </sheetView>
  </sheetViews>
  <sheetFormatPr defaultColWidth="8.90625" defaultRowHeight="13" x14ac:dyDescent="0.3"/>
  <cols>
    <col min="1" max="2" width="8.90625" style="58"/>
    <col min="3" max="3" width="16.453125" style="99" customWidth="1"/>
    <col min="4" max="4" width="12.81640625" style="99" bestFit="1" customWidth="1"/>
    <col min="5" max="5" width="13.81640625" style="99" bestFit="1" customWidth="1"/>
    <col min="6" max="6" width="16.453125" style="99" bestFit="1" customWidth="1"/>
    <col min="7" max="9" width="8.90625" style="99"/>
    <col min="10" max="10" width="14.453125" style="99" customWidth="1"/>
    <col min="11" max="11" width="14.453125" style="99" bestFit="1" customWidth="1"/>
    <col min="12" max="12" width="19.1796875" style="99" bestFit="1" customWidth="1"/>
    <col min="13" max="13" width="14.453125" style="99" customWidth="1"/>
    <col min="14" max="14" width="18.453125" style="99" bestFit="1" customWidth="1"/>
    <col min="15" max="15" width="11.453125" style="99" bestFit="1" customWidth="1"/>
    <col min="16" max="16" width="11.453125" style="99" customWidth="1"/>
    <col min="17" max="17" width="20.81640625" style="99" bestFit="1" customWidth="1"/>
    <col min="18" max="18" width="14.453125" style="99" customWidth="1"/>
    <col min="19" max="19" width="8.90625" style="99"/>
    <col min="20" max="16384" width="8.90625" style="58"/>
  </cols>
  <sheetData>
    <row r="1" spans="3:19" x14ac:dyDescent="0.3">
      <c r="C1" s="108" t="s">
        <v>169</v>
      </c>
      <c r="D1" s="108" t="s">
        <v>170</v>
      </c>
      <c r="E1" s="111" t="s">
        <v>171</v>
      </c>
      <c r="F1" s="111" t="s">
        <v>172</v>
      </c>
      <c r="G1" s="101" t="s">
        <v>173</v>
      </c>
      <c r="I1" s="108" t="s">
        <v>169</v>
      </c>
      <c r="J1" s="108" t="s">
        <v>174</v>
      </c>
      <c r="K1" s="111" t="s">
        <v>175</v>
      </c>
      <c r="L1" s="98" t="s">
        <v>176</v>
      </c>
      <c r="M1" s="98" t="s">
        <v>177</v>
      </c>
      <c r="N1" s="98" t="s">
        <v>178</v>
      </c>
      <c r="O1" s="98" t="s">
        <v>179</v>
      </c>
      <c r="P1" s="98" t="s">
        <v>180</v>
      </c>
      <c r="Q1" s="98" t="s">
        <v>181</v>
      </c>
      <c r="R1" s="98" t="s">
        <v>207</v>
      </c>
      <c r="S1" s="98" t="s">
        <v>208</v>
      </c>
    </row>
    <row r="2" spans="3:19" x14ac:dyDescent="0.3">
      <c r="C2" s="61" t="s">
        <v>95</v>
      </c>
      <c r="D2" s="61">
        <v>15</v>
      </c>
      <c r="E2" s="96">
        <v>51</v>
      </c>
      <c r="F2" s="96">
        <v>56</v>
      </c>
      <c r="G2" s="96"/>
      <c r="H2" s="96"/>
      <c r="I2" s="61" t="s">
        <v>95</v>
      </c>
      <c r="J2" s="61">
        <v>39</v>
      </c>
      <c r="K2" s="96">
        <v>16</v>
      </c>
      <c r="L2" s="96">
        <v>29</v>
      </c>
      <c r="M2" s="96"/>
      <c r="N2" s="96"/>
      <c r="O2" s="96"/>
      <c r="P2" s="96"/>
      <c r="Q2" s="96"/>
      <c r="R2" s="96"/>
      <c r="S2" s="96"/>
    </row>
    <row r="3" spans="3:19" x14ac:dyDescent="0.3">
      <c r="C3" s="61" t="s">
        <v>96</v>
      </c>
      <c r="D3" s="61">
        <v>17</v>
      </c>
      <c r="E3" s="96">
        <v>70</v>
      </c>
      <c r="F3" s="96">
        <v>122</v>
      </c>
      <c r="G3" s="96"/>
      <c r="H3" s="96"/>
      <c r="I3" s="61" t="s">
        <v>96</v>
      </c>
      <c r="J3" s="61">
        <v>30</v>
      </c>
      <c r="K3" s="96">
        <v>28</v>
      </c>
      <c r="L3" s="96">
        <v>26</v>
      </c>
      <c r="M3" s="96"/>
      <c r="N3" s="96"/>
      <c r="O3" s="96"/>
      <c r="P3" s="96"/>
      <c r="Q3" s="96"/>
      <c r="R3" s="96"/>
      <c r="S3" s="96"/>
    </row>
    <row r="4" spans="3:19" x14ac:dyDescent="0.3">
      <c r="C4" s="61" t="s">
        <v>97</v>
      </c>
      <c r="D4" s="61">
        <v>15</v>
      </c>
      <c r="E4" s="96">
        <v>127</v>
      </c>
      <c r="F4" s="96">
        <v>79</v>
      </c>
      <c r="G4" s="96"/>
      <c r="H4" s="96"/>
      <c r="I4" s="61" t="s">
        <v>97</v>
      </c>
      <c r="J4" s="61">
        <v>33</v>
      </c>
      <c r="K4" s="96">
        <v>30</v>
      </c>
      <c r="L4" s="96">
        <v>31</v>
      </c>
      <c r="M4" s="96"/>
      <c r="N4" s="96"/>
      <c r="O4" s="96"/>
      <c r="P4" s="96"/>
      <c r="Q4" s="96"/>
      <c r="R4" s="96"/>
      <c r="S4" s="96"/>
    </row>
    <row r="5" spans="3:19" x14ac:dyDescent="0.3">
      <c r="C5" s="61" t="s">
        <v>46</v>
      </c>
      <c r="D5" s="61">
        <v>16</v>
      </c>
      <c r="E5" s="96">
        <v>91</v>
      </c>
      <c r="F5" s="96">
        <v>81</v>
      </c>
      <c r="G5" s="96"/>
      <c r="H5" s="96"/>
      <c r="I5" s="61" t="s">
        <v>46</v>
      </c>
      <c r="J5" s="61">
        <v>35</v>
      </c>
      <c r="K5" s="96">
        <v>27</v>
      </c>
      <c r="L5" s="96">
        <v>23</v>
      </c>
      <c r="M5" s="96"/>
      <c r="N5" s="96"/>
      <c r="O5" s="96"/>
      <c r="P5" s="96"/>
      <c r="Q5" s="96"/>
      <c r="R5" s="96"/>
      <c r="S5" s="96"/>
    </row>
    <row r="6" spans="3:19" x14ac:dyDescent="0.3">
      <c r="C6" s="61" t="s">
        <v>47</v>
      </c>
      <c r="D6" s="61">
        <v>19</v>
      </c>
      <c r="E6" s="96">
        <v>107</v>
      </c>
      <c r="F6" s="96">
        <v>101</v>
      </c>
      <c r="G6" s="96"/>
      <c r="H6" s="96"/>
      <c r="I6" s="61" t="s">
        <v>47</v>
      </c>
      <c r="J6" s="61">
        <v>30</v>
      </c>
      <c r="K6" s="96">
        <v>19</v>
      </c>
      <c r="L6" s="96">
        <v>23</v>
      </c>
      <c r="M6" s="96"/>
      <c r="N6" s="96"/>
      <c r="O6" s="96"/>
      <c r="P6" s="96"/>
      <c r="Q6" s="96"/>
      <c r="R6" s="96"/>
      <c r="S6" s="96"/>
    </row>
    <row r="7" spans="3:19" x14ac:dyDescent="0.3">
      <c r="C7" s="61" t="s">
        <v>48</v>
      </c>
      <c r="D7" s="61">
        <v>16</v>
      </c>
      <c r="E7" s="96">
        <f>'Volumetric trends INC &amp; RITM'!G7</f>
        <v>115</v>
      </c>
      <c r="F7" s="96">
        <v>72</v>
      </c>
      <c r="G7" s="96"/>
      <c r="H7" s="96"/>
      <c r="I7" s="61" t="s">
        <v>48</v>
      </c>
      <c r="J7" s="61">
        <v>24</v>
      </c>
      <c r="K7" s="96">
        <f>'Volumetric trends INC &amp; RITM'!G15</f>
        <v>29</v>
      </c>
      <c r="L7" s="96">
        <v>22</v>
      </c>
      <c r="M7" s="96"/>
      <c r="N7" s="96"/>
      <c r="O7" s="96"/>
      <c r="P7" s="96"/>
      <c r="Q7" s="96"/>
      <c r="R7" s="96"/>
      <c r="S7" s="96"/>
    </row>
    <row r="8" spans="3:19" x14ac:dyDescent="0.3">
      <c r="C8" s="61" t="s">
        <v>49</v>
      </c>
      <c r="D8" s="61">
        <v>18</v>
      </c>
      <c r="E8" s="96">
        <v>121</v>
      </c>
      <c r="F8" s="96">
        <v>88</v>
      </c>
      <c r="G8" s="96"/>
      <c r="H8" s="96"/>
      <c r="I8" s="61" t="s">
        <v>49</v>
      </c>
      <c r="J8" s="61">
        <v>22</v>
      </c>
      <c r="K8" s="96">
        <v>27</v>
      </c>
      <c r="L8" s="96">
        <v>18</v>
      </c>
      <c r="M8" s="96"/>
      <c r="N8" s="96"/>
      <c r="O8" s="96"/>
      <c r="P8" s="96"/>
      <c r="Q8" s="96"/>
      <c r="R8" s="96"/>
      <c r="S8" s="96"/>
    </row>
    <row r="9" spans="3:19" x14ac:dyDescent="0.3">
      <c r="C9" s="61" t="s">
        <v>50</v>
      </c>
      <c r="D9" s="61">
        <v>19</v>
      </c>
      <c r="E9" s="96">
        <v>105</v>
      </c>
      <c r="F9" s="96">
        <v>79</v>
      </c>
      <c r="G9" s="96"/>
      <c r="H9" s="96"/>
      <c r="I9" s="61" t="s">
        <v>50</v>
      </c>
      <c r="J9" s="61">
        <v>31</v>
      </c>
      <c r="K9" s="96">
        <v>15</v>
      </c>
      <c r="L9" s="96">
        <v>21</v>
      </c>
      <c r="M9" s="96"/>
      <c r="N9" s="96"/>
      <c r="O9" s="96"/>
      <c r="P9" s="96"/>
      <c r="Q9" s="96"/>
      <c r="R9" s="96"/>
      <c r="S9" s="96"/>
    </row>
    <row r="10" spans="3:19" x14ac:dyDescent="0.3">
      <c r="C10" s="61" t="s">
        <v>51</v>
      </c>
      <c r="D10" s="61">
        <v>17</v>
      </c>
      <c r="E10" s="96">
        <v>137</v>
      </c>
      <c r="F10" s="96">
        <v>116</v>
      </c>
      <c r="G10" s="96"/>
      <c r="H10" s="96"/>
      <c r="I10" s="61" t="s">
        <v>51</v>
      </c>
      <c r="J10" s="61">
        <v>34</v>
      </c>
      <c r="K10" s="96">
        <v>17</v>
      </c>
      <c r="L10" s="96">
        <v>22</v>
      </c>
      <c r="M10" s="96"/>
      <c r="N10" s="96"/>
      <c r="O10" s="96"/>
      <c r="P10" s="96"/>
      <c r="Q10" s="96"/>
      <c r="R10" s="96"/>
      <c r="S10" s="96"/>
    </row>
    <row r="11" spans="3:19" x14ac:dyDescent="0.3">
      <c r="C11" s="61" t="s">
        <v>52</v>
      </c>
      <c r="D11" s="61">
        <v>22</v>
      </c>
      <c r="E11" s="96">
        <v>105</v>
      </c>
      <c r="F11" s="96">
        <v>88</v>
      </c>
      <c r="G11" s="96"/>
      <c r="H11" s="96"/>
      <c r="I11" s="61" t="s">
        <v>52</v>
      </c>
      <c r="J11" s="61">
        <v>24</v>
      </c>
      <c r="K11" s="96">
        <v>22</v>
      </c>
      <c r="L11" s="96">
        <v>12</v>
      </c>
      <c r="M11" s="96"/>
      <c r="N11" s="96"/>
      <c r="O11" s="96"/>
      <c r="P11" s="96"/>
      <c r="Q11" s="96"/>
      <c r="R11" s="96"/>
      <c r="S11" s="96"/>
    </row>
    <row r="12" spans="3:19" x14ac:dyDescent="0.3">
      <c r="C12" s="61" t="s">
        <v>53</v>
      </c>
      <c r="D12" s="61">
        <v>17</v>
      </c>
      <c r="E12" s="96">
        <v>136</v>
      </c>
      <c r="F12" s="96">
        <v>115</v>
      </c>
      <c r="G12" s="96"/>
      <c r="H12" s="96"/>
      <c r="I12" s="61" t="s">
        <v>53</v>
      </c>
      <c r="J12" s="61">
        <v>25</v>
      </c>
      <c r="K12" s="96">
        <v>13</v>
      </c>
      <c r="L12" s="96">
        <v>17</v>
      </c>
      <c r="M12" s="96"/>
      <c r="N12" s="96"/>
      <c r="O12" s="96"/>
      <c r="P12" s="96"/>
      <c r="Q12" s="96"/>
      <c r="R12" s="96"/>
      <c r="S12" s="96"/>
    </row>
    <row r="13" spans="3:19" x14ac:dyDescent="0.3">
      <c r="C13" s="61" t="s">
        <v>54</v>
      </c>
      <c r="D13" s="61">
        <v>15</v>
      </c>
      <c r="E13" s="96">
        <v>137</v>
      </c>
      <c r="F13" s="96">
        <v>125</v>
      </c>
      <c r="G13" s="96"/>
      <c r="H13" s="96"/>
      <c r="I13" s="61" t="s">
        <v>54</v>
      </c>
      <c r="J13" s="61">
        <v>23</v>
      </c>
      <c r="K13" s="96">
        <v>22</v>
      </c>
      <c r="L13" s="96">
        <v>20</v>
      </c>
      <c r="M13" s="96">
        <v>13</v>
      </c>
      <c r="N13" s="96"/>
      <c r="O13" s="96"/>
      <c r="P13" s="96"/>
      <c r="Q13" s="96"/>
      <c r="R13" s="96"/>
      <c r="S13" s="96"/>
    </row>
    <row r="14" spans="3:19" x14ac:dyDescent="0.3">
      <c r="C14" s="61" t="s">
        <v>55</v>
      </c>
      <c r="D14" s="61">
        <v>15</v>
      </c>
      <c r="E14" s="96">
        <v>110</v>
      </c>
      <c r="F14" s="96">
        <v>90</v>
      </c>
      <c r="G14" s="96"/>
      <c r="H14" s="96"/>
      <c r="I14" s="61" t="s">
        <v>55</v>
      </c>
      <c r="J14" s="61">
        <v>22</v>
      </c>
      <c r="K14" s="96">
        <v>12</v>
      </c>
      <c r="L14" s="96">
        <v>14</v>
      </c>
      <c r="M14" s="96">
        <v>12</v>
      </c>
      <c r="N14" s="96"/>
      <c r="O14" s="96"/>
      <c r="P14" s="96"/>
      <c r="Q14" s="96"/>
      <c r="R14" s="96"/>
      <c r="S14" s="96"/>
    </row>
    <row r="15" spans="3:19" x14ac:dyDescent="0.3">
      <c r="C15" s="61" t="s">
        <v>56</v>
      </c>
      <c r="D15" s="61">
        <v>17</v>
      </c>
      <c r="E15" s="96">
        <v>62</v>
      </c>
      <c r="F15" s="96">
        <v>34</v>
      </c>
      <c r="G15" s="96"/>
      <c r="H15" s="96"/>
      <c r="I15" s="61" t="s">
        <v>56</v>
      </c>
      <c r="J15" s="61">
        <v>37</v>
      </c>
      <c r="K15" s="96">
        <v>10</v>
      </c>
      <c r="L15" s="96">
        <v>23</v>
      </c>
      <c r="M15" s="96">
        <v>19</v>
      </c>
      <c r="N15" s="96"/>
      <c r="O15" s="96"/>
      <c r="P15" s="96"/>
      <c r="Q15" s="96"/>
      <c r="R15" s="96"/>
      <c r="S15" s="96"/>
    </row>
    <row r="16" spans="3:19" x14ac:dyDescent="0.3">
      <c r="C16" s="61" t="s">
        <v>57</v>
      </c>
      <c r="D16" s="61">
        <v>15</v>
      </c>
      <c r="E16" s="96">
        <v>49</v>
      </c>
      <c r="F16" s="96">
        <v>42</v>
      </c>
      <c r="G16" s="96"/>
      <c r="H16" s="96"/>
      <c r="I16" s="61" t="s">
        <v>57</v>
      </c>
      <c r="J16" s="61">
        <v>36</v>
      </c>
      <c r="K16" s="96">
        <v>23</v>
      </c>
      <c r="L16" s="96">
        <v>22</v>
      </c>
      <c r="M16" s="96">
        <v>14</v>
      </c>
      <c r="N16" s="96">
        <v>13</v>
      </c>
      <c r="O16" s="96"/>
      <c r="P16" s="96"/>
      <c r="Q16" s="96"/>
      <c r="R16" s="96"/>
      <c r="S16" s="96"/>
    </row>
    <row r="17" spans="3:19" x14ac:dyDescent="0.3">
      <c r="C17" s="61" t="s">
        <v>58</v>
      </c>
      <c r="D17" s="61">
        <v>16</v>
      </c>
      <c r="E17" s="96">
        <v>53</v>
      </c>
      <c r="F17" s="96">
        <v>41</v>
      </c>
      <c r="G17" s="96"/>
      <c r="H17" s="96"/>
      <c r="I17" s="61" t="s">
        <v>58</v>
      </c>
      <c r="J17" s="61">
        <v>28</v>
      </c>
      <c r="K17" s="96">
        <v>26</v>
      </c>
      <c r="L17" s="96">
        <v>19</v>
      </c>
      <c r="M17" s="96">
        <v>8</v>
      </c>
      <c r="N17" s="96">
        <v>12</v>
      </c>
      <c r="O17" s="96"/>
      <c r="P17" s="96"/>
      <c r="Q17" s="96"/>
      <c r="R17" s="96"/>
      <c r="S17" s="96"/>
    </row>
    <row r="18" spans="3:19" x14ac:dyDescent="0.3">
      <c r="C18" s="61" t="s">
        <v>59</v>
      </c>
      <c r="D18" s="61">
        <v>12</v>
      </c>
      <c r="E18" s="96">
        <v>86</v>
      </c>
      <c r="F18" s="96">
        <v>79</v>
      </c>
      <c r="G18" s="96"/>
      <c r="H18" s="96"/>
      <c r="I18" s="61" t="s">
        <v>59</v>
      </c>
      <c r="J18" s="61">
        <v>25</v>
      </c>
      <c r="K18" s="96">
        <v>18</v>
      </c>
      <c r="L18" s="96">
        <v>17</v>
      </c>
      <c r="M18" s="96">
        <v>8</v>
      </c>
      <c r="N18" s="96">
        <v>7</v>
      </c>
      <c r="O18" s="96"/>
      <c r="P18" s="96"/>
      <c r="Q18" s="96"/>
      <c r="R18" s="96"/>
      <c r="S18" s="96"/>
    </row>
    <row r="19" spans="3:19" x14ac:dyDescent="0.3">
      <c r="C19" s="61" t="s">
        <v>60</v>
      </c>
      <c r="D19" s="61">
        <v>6</v>
      </c>
      <c r="E19" s="96">
        <v>105</v>
      </c>
      <c r="F19" s="96">
        <v>80</v>
      </c>
      <c r="G19" s="96"/>
      <c r="H19" s="96"/>
      <c r="I19" s="61" t="s">
        <v>60</v>
      </c>
      <c r="J19" s="61">
        <v>33</v>
      </c>
      <c r="K19" s="96">
        <v>19</v>
      </c>
      <c r="L19" s="96">
        <v>25</v>
      </c>
      <c r="M19" s="96">
        <v>10</v>
      </c>
      <c r="N19" s="96">
        <v>8</v>
      </c>
      <c r="O19" s="96"/>
      <c r="P19" s="96"/>
      <c r="Q19" s="96"/>
      <c r="R19" s="96"/>
      <c r="S19" s="96"/>
    </row>
    <row r="20" spans="3:19" x14ac:dyDescent="0.3">
      <c r="C20" s="61" t="s">
        <v>61</v>
      </c>
      <c r="D20" s="61">
        <v>12</v>
      </c>
      <c r="E20" s="96">
        <v>47</v>
      </c>
      <c r="F20" s="96">
        <v>38</v>
      </c>
      <c r="G20" s="96"/>
      <c r="H20" s="96"/>
      <c r="I20" s="61" t="s">
        <v>61</v>
      </c>
      <c r="J20" s="61">
        <v>40</v>
      </c>
      <c r="K20" s="96">
        <v>19</v>
      </c>
      <c r="L20" s="96">
        <v>26</v>
      </c>
      <c r="M20" s="96">
        <v>14</v>
      </c>
      <c r="N20" s="96">
        <v>5</v>
      </c>
      <c r="O20" s="96"/>
      <c r="P20" s="96"/>
      <c r="Q20" s="96"/>
      <c r="R20" s="96"/>
      <c r="S20" s="96"/>
    </row>
    <row r="21" spans="3:19" x14ac:dyDescent="0.3">
      <c r="C21" s="61" t="s">
        <v>62</v>
      </c>
      <c r="D21" s="61">
        <v>16</v>
      </c>
      <c r="E21" s="96">
        <v>68</v>
      </c>
      <c r="F21" s="96">
        <v>55</v>
      </c>
      <c r="G21" s="96"/>
      <c r="H21" s="96"/>
      <c r="I21" s="61" t="s">
        <v>62</v>
      </c>
      <c r="J21" s="61">
        <v>44</v>
      </c>
      <c r="K21" s="96">
        <v>18</v>
      </c>
      <c r="L21" s="96">
        <v>21</v>
      </c>
      <c r="M21" s="96">
        <v>12</v>
      </c>
      <c r="N21" s="96">
        <v>8</v>
      </c>
      <c r="O21" s="96"/>
      <c r="P21" s="96"/>
      <c r="Q21" s="96"/>
      <c r="R21" s="96"/>
      <c r="S21" s="96"/>
    </row>
    <row r="22" spans="3:19" x14ac:dyDescent="0.3">
      <c r="C22" s="61" t="s">
        <v>63</v>
      </c>
      <c r="D22" s="61">
        <v>18</v>
      </c>
      <c r="E22" s="96">
        <v>81</v>
      </c>
      <c r="F22" s="96">
        <v>72</v>
      </c>
      <c r="G22" s="96"/>
      <c r="H22" s="96"/>
      <c r="I22" s="61" t="s">
        <v>63</v>
      </c>
      <c r="J22" s="61">
        <v>42</v>
      </c>
      <c r="K22" s="96">
        <v>15</v>
      </c>
      <c r="L22" s="96">
        <v>13</v>
      </c>
      <c r="M22" s="96">
        <v>14</v>
      </c>
      <c r="N22" s="96">
        <v>4</v>
      </c>
      <c r="O22" s="96">
        <v>12</v>
      </c>
      <c r="P22" s="96"/>
      <c r="Q22" s="96"/>
      <c r="R22" s="96"/>
      <c r="S22" s="96"/>
    </row>
    <row r="23" spans="3:19" x14ac:dyDescent="0.3">
      <c r="C23" s="61" t="s">
        <v>64</v>
      </c>
      <c r="D23" s="61">
        <v>45</v>
      </c>
      <c r="E23" s="96">
        <v>83</v>
      </c>
      <c r="F23" s="96">
        <v>99</v>
      </c>
      <c r="G23" s="96"/>
      <c r="H23" s="96"/>
      <c r="I23" s="61" t="s">
        <v>64</v>
      </c>
      <c r="J23" s="61">
        <v>46</v>
      </c>
      <c r="K23" s="96">
        <v>13</v>
      </c>
      <c r="L23" s="96">
        <v>16</v>
      </c>
      <c r="M23" s="96">
        <v>17</v>
      </c>
      <c r="N23" s="96">
        <v>6</v>
      </c>
      <c r="O23" s="96">
        <v>7</v>
      </c>
      <c r="P23" s="96"/>
      <c r="Q23" s="96"/>
      <c r="R23" s="96"/>
      <c r="S23" s="96"/>
    </row>
    <row r="24" spans="3:19" x14ac:dyDescent="0.3">
      <c r="C24" s="61" t="s">
        <v>65</v>
      </c>
      <c r="D24" s="61">
        <v>16</v>
      </c>
      <c r="E24" s="96">
        <v>169</v>
      </c>
      <c r="F24" s="96">
        <v>124</v>
      </c>
      <c r="G24" s="96"/>
      <c r="H24" s="96"/>
      <c r="I24" s="61" t="s">
        <v>65</v>
      </c>
      <c r="J24" s="61">
        <v>51</v>
      </c>
      <c r="K24" s="96">
        <v>17</v>
      </c>
      <c r="L24" s="96">
        <v>24</v>
      </c>
      <c r="M24" s="96">
        <v>13</v>
      </c>
      <c r="N24" s="96">
        <v>9</v>
      </c>
      <c r="O24" s="96">
        <v>8</v>
      </c>
      <c r="P24" s="96"/>
      <c r="Q24" s="96"/>
      <c r="R24" s="96"/>
      <c r="S24" s="96"/>
    </row>
    <row r="25" spans="3:19" x14ac:dyDescent="0.3">
      <c r="C25" s="61" t="s">
        <v>66</v>
      </c>
      <c r="D25" s="61">
        <v>15</v>
      </c>
      <c r="E25" s="96">
        <v>99</v>
      </c>
      <c r="F25" s="96">
        <v>78</v>
      </c>
      <c r="G25" s="96"/>
      <c r="H25" s="96"/>
      <c r="I25" s="61" t="s">
        <v>66</v>
      </c>
      <c r="J25" s="61">
        <v>59</v>
      </c>
      <c r="K25" s="96">
        <v>16</v>
      </c>
      <c r="L25" s="96">
        <v>26</v>
      </c>
      <c r="M25" s="96">
        <v>17</v>
      </c>
      <c r="N25" s="96">
        <v>6</v>
      </c>
      <c r="O25" s="96">
        <v>13</v>
      </c>
      <c r="P25" s="96"/>
      <c r="Q25" s="96"/>
      <c r="R25" s="96"/>
      <c r="S25" s="96"/>
    </row>
    <row r="26" spans="3:19" x14ac:dyDescent="0.3">
      <c r="C26" s="61" t="s">
        <v>67</v>
      </c>
      <c r="D26" s="61">
        <v>23</v>
      </c>
      <c r="E26" s="96">
        <v>109</v>
      </c>
      <c r="F26" s="96">
        <v>95</v>
      </c>
      <c r="G26" s="96"/>
      <c r="H26" s="96"/>
      <c r="I26" s="61" t="s">
        <v>67</v>
      </c>
      <c r="J26" s="61">
        <v>55</v>
      </c>
      <c r="K26" s="96">
        <v>24</v>
      </c>
      <c r="L26" s="96">
        <v>20</v>
      </c>
      <c r="M26" s="96">
        <v>21</v>
      </c>
      <c r="N26" s="96">
        <v>8</v>
      </c>
      <c r="O26" s="96">
        <v>9</v>
      </c>
      <c r="P26" s="96"/>
      <c r="Q26" s="96"/>
      <c r="R26" s="96"/>
      <c r="S26" s="96"/>
    </row>
    <row r="27" spans="3:19" x14ac:dyDescent="0.3">
      <c r="C27" s="61" t="s">
        <v>68</v>
      </c>
      <c r="D27" s="61">
        <v>44</v>
      </c>
      <c r="E27" s="96">
        <v>152</v>
      </c>
      <c r="F27" s="96">
        <v>159</v>
      </c>
      <c r="G27" s="96">
        <v>14</v>
      </c>
      <c r="H27" s="96"/>
      <c r="I27" s="61" t="s">
        <v>68</v>
      </c>
      <c r="J27" s="61">
        <v>73</v>
      </c>
      <c r="K27" s="96">
        <v>21</v>
      </c>
      <c r="L27" s="96">
        <v>36</v>
      </c>
      <c r="M27" s="96">
        <v>25</v>
      </c>
      <c r="N27" s="96">
        <v>5</v>
      </c>
      <c r="O27" s="96">
        <v>4</v>
      </c>
      <c r="P27" s="96"/>
      <c r="Q27" s="96">
        <v>13</v>
      </c>
      <c r="R27" s="96"/>
      <c r="S27" s="96"/>
    </row>
    <row r="28" spans="3:19" x14ac:dyDescent="0.3">
      <c r="C28" s="61" t="s">
        <v>69</v>
      </c>
      <c r="D28" s="61">
        <v>44</v>
      </c>
      <c r="E28" s="96">
        <v>174</v>
      </c>
      <c r="F28" s="96">
        <v>151</v>
      </c>
      <c r="G28" s="96">
        <v>19</v>
      </c>
      <c r="H28" s="96"/>
      <c r="I28" s="61" t="s">
        <v>69</v>
      </c>
      <c r="J28" s="61">
        <v>71</v>
      </c>
      <c r="K28" s="96">
        <v>52</v>
      </c>
      <c r="L28" s="96">
        <v>45</v>
      </c>
      <c r="M28" s="96">
        <v>26</v>
      </c>
      <c r="N28" s="96">
        <v>16</v>
      </c>
      <c r="O28" s="96">
        <v>9</v>
      </c>
      <c r="P28" s="96"/>
      <c r="Q28" s="96"/>
      <c r="R28" s="96"/>
      <c r="S28" s="96"/>
    </row>
    <row r="29" spans="3:19" x14ac:dyDescent="0.3">
      <c r="C29" s="61" t="s">
        <v>70</v>
      </c>
      <c r="D29" s="61">
        <v>40</v>
      </c>
      <c r="E29" s="96">
        <v>248</v>
      </c>
      <c r="F29" s="96">
        <v>228</v>
      </c>
      <c r="G29" s="96">
        <v>16</v>
      </c>
      <c r="H29" s="96"/>
      <c r="I29" s="61" t="s">
        <v>70</v>
      </c>
      <c r="J29" s="61">
        <v>67</v>
      </c>
      <c r="K29" s="96">
        <v>26</v>
      </c>
      <c r="L29" s="96">
        <v>24</v>
      </c>
      <c r="M29" s="96">
        <v>25</v>
      </c>
      <c r="N29" s="96">
        <v>12</v>
      </c>
      <c r="O29" s="96">
        <v>6</v>
      </c>
      <c r="P29" s="96"/>
      <c r="Q29" s="96">
        <v>14</v>
      </c>
      <c r="R29" s="96"/>
      <c r="S29" s="96"/>
    </row>
    <row r="30" spans="3:19" x14ac:dyDescent="0.3">
      <c r="C30" s="61" t="s">
        <v>71</v>
      </c>
      <c r="D30" s="61">
        <v>47</v>
      </c>
      <c r="E30" s="96">
        <v>322</v>
      </c>
      <c r="F30" s="96">
        <v>303</v>
      </c>
      <c r="G30" s="96">
        <v>19</v>
      </c>
      <c r="H30" s="96"/>
      <c r="I30" s="61" t="s">
        <v>71</v>
      </c>
      <c r="J30" s="61">
        <v>68</v>
      </c>
      <c r="K30" s="96">
        <v>29</v>
      </c>
      <c r="L30" s="96">
        <v>24</v>
      </c>
      <c r="M30" s="96">
        <v>25</v>
      </c>
      <c r="N30" s="96">
        <v>17</v>
      </c>
      <c r="O30" s="96">
        <v>13</v>
      </c>
      <c r="P30" s="96"/>
      <c r="Q30" s="96">
        <v>17</v>
      </c>
      <c r="R30" s="96"/>
      <c r="S30" s="96"/>
    </row>
    <row r="31" spans="3:19" x14ac:dyDescent="0.3">
      <c r="C31" s="61" t="s">
        <v>72</v>
      </c>
      <c r="D31" s="61">
        <v>37</v>
      </c>
      <c r="E31" s="96">
        <v>155</v>
      </c>
      <c r="F31" s="96">
        <v>128</v>
      </c>
      <c r="G31" s="96">
        <v>23</v>
      </c>
      <c r="H31" s="96"/>
      <c r="I31" s="61" t="s">
        <v>72</v>
      </c>
      <c r="J31" s="61">
        <v>77</v>
      </c>
      <c r="K31" s="96">
        <v>19</v>
      </c>
      <c r="L31" s="96">
        <v>29</v>
      </c>
      <c r="M31" s="96">
        <v>24</v>
      </c>
      <c r="N31" s="96">
        <v>3</v>
      </c>
      <c r="O31" s="96">
        <v>20</v>
      </c>
      <c r="P31" s="96"/>
      <c r="Q31" s="96">
        <v>18</v>
      </c>
      <c r="R31" s="96"/>
      <c r="S31" s="96"/>
    </row>
    <row r="32" spans="3:19" x14ac:dyDescent="0.3">
      <c r="C32" s="61" t="s">
        <v>73</v>
      </c>
      <c r="D32" s="61">
        <v>35</v>
      </c>
      <c r="E32" s="96">
        <v>219</v>
      </c>
      <c r="F32" s="96">
        <v>196</v>
      </c>
      <c r="G32" s="96">
        <v>22</v>
      </c>
      <c r="H32" s="96"/>
      <c r="I32" s="61" t="s">
        <v>73</v>
      </c>
      <c r="J32" s="61">
        <v>70</v>
      </c>
      <c r="K32" s="96">
        <v>30</v>
      </c>
      <c r="L32" s="96">
        <v>21</v>
      </c>
      <c r="M32" s="96">
        <v>27</v>
      </c>
      <c r="N32" s="96">
        <v>11</v>
      </c>
      <c r="O32" s="96">
        <v>19</v>
      </c>
      <c r="P32" s="96"/>
      <c r="Q32" s="96">
        <v>17</v>
      </c>
      <c r="R32" s="96"/>
      <c r="S32" s="96"/>
    </row>
    <row r="33" spans="3:19" x14ac:dyDescent="0.3">
      <c r="C33" s="61" t="s">
        <v>74</v>
      </c>
      <c r="D33" s="61">
        <v>34</v>
      </c>
      <c r="E33" s="96">
        <v>197</v>
      </c>
      <c r="F33" s="96">
        <v>172</v>
      </c>
      <c r="G33" s="96">
        <v>16</v>
      </c>
      <c r="H33" s="96"/>
      <c r="I33" s="61" t="s">
        <v>74</v>
      </c>
      <c r="J33" s="61">
        <v>67</v>
      </c>
      <c r="K33" s="96">
        <v>31</v>
      </c>
      <c r="L33" s="96">
        <v>29</v>
      </c>
      <c r="M33" s="96">
        <v>28</v>
      </c>
      <c r="N33" s="96">
        <v>13</v>
      </c>
      <c r="O33" s="96">
        <v>15</v>
      </c>
      <c r="P33" s="96"/>
      <c r="Q33" s="96">
        <v>17</v>
      </c>
      <c r="R33" s="96"/>
      <c r="S33" s="96"/>
    </row>
    <row r="34" spans="3:19" x14ac:dyDescent="0.3">
      <c r="C34" s="61" t="s">
        <v>75</v>
      </c>
      <c r="D34" s="61">
        <v>33</v>
      </c>
      <c r="E34" s="96">
        <v>114</v>
      </c>
      <c r="F34" s="96">
        <v>101</v>
      </c>
      <c r="G34" s="96">
        <v>16</v>
      </c>
      <c r="H34" s="96"/>
      <c r="I34" s="61" t="s">
        <v>75</v>
      </c>
      <c r="J34" s="61">
        <v>57</v>
      </c>
      <c r="K34" s="96">
        <v>24</v>
      </c>
      <c r="L34" s="96">
        <v>12</v>
      </c>
      <c r="M34" s="96">
        <v>26</v>
      </c>
      <c r="N34" s="96">
        <v>5</v>
      </c>
      <c r="O34" s="96">
        <v>15</v>
      </c>
      <c r="P34" s="96"/>
      <c r="Q34" s="96">
        <v>17</v>
      </c>
      <c r="R34" s="96"/>
      <c r="S34" s="96"/>
    </row>
    <row r="35" spans="3:19" x14ac:dyDescent="0.3">
      <c r="C35" s="61" t="s">
        <v>76</v>
      </c>
      <c r="D35" s="61">
        <v>35</v>
      </c>
      <c r="E35" s="96">
        <v>164</v>
      </c>
      <c r="F35" s="96">
        <v>152</v>
      </c>
      <c r="G35" s="96">
        <v>16</v>
      </c>
      <c r="H35" s="96"/>
      <c r="I35" s="61" t="s">
        <v>76</v>
      </c>
      <c r="J35" s="61">
        <v>64</v>
      </c>
      <c r="K35" s="96">
        <v>23</v>
      </c>
      <c r="L35" s="96">
        <v>28</v>
      </c>
      <c r="M35" s="96">
        <v>29</v>
      </c>
      <c r="N35" s="96">
        <v>10</v>
      </c>
      <c r="O35" s="96">
        <v>12</v>
      </c>
      <c r="P35" s="96"/>
      <c r="Q35" s="96">
        <v>16</v>
      </c>
      <c r="R35" s="96"/>
      <c r="S35" s="96"/>
    </row>
    <row r="36" spans="3:19" x14ac:dyDescent="0.3">
      <c r="C36" s="61" t="s">
        <v>77</v>
      </c>
      <c r="D36" s="61">
        <v>27</v>
      </c>
      <c r="E36" s="96">
        <v>192</v>
      </c>
      <c r="F36" s="96">
        <v>164</v>
      </c>
      <c r="G36" s="96">
        <v>16</v>
      </c>
      <c r="H36" s="96"/>
      <c r="I36" s="61" t="s">
        <v>77</v>
      </c>
      <c r="J36" s="61">
        <v>42</v>
      </c>
      <c r="K36" s="96">
        <v>43</v>
      </c>
      <c r="L36" s="96">
        <v>19</v>
      </c>
      <c r="M36" s="96">
        <v>4</v>
      </c>
      <c r="N36" s="96">
        <v>22</v>
      </c>
      <c r="O36" s="96">
        <v>16</v>
      </c>
      <c r="P36" s="96"/>
      <c r="Q36" s="96">
        <v>17</v>
      </c>
      <c r="R36" s="96"/>
      <c r="S36" s="96"/>
    </row>
    <row r="37" spans="3:19" x14ac:dyDescent="0.3">
      <c r="C37" s="61" t="s">
        <v>78</v>
      </c>
      <c r="D37" s="61">
        <v>29</v>
      </c>
      <c r="E37" s="96">
        <v>132</v>
      </c>
      <c r="F37" s="96">
        <v>114</v>
      </c>
      <c r="G37" s="96">
        <v>16</v>
      </c>
      <c r="H37" s="96"/>
      <c r="I37" s="61" t="s">
        <v>78</v>
      </c>
      <c r="J37" s="61">
        <v>31</v>
      </c>
      <c r="K37" s="96">
        <v>36</v>
      </c>
      <c r="L37" s="96">
        <v>29</v>
      </c>
      <c r="M37" s="96">
        <v>3</v>
      </c>
      <c r="N37" s="96">
        <v>16</v>
      </c>
      <c r="O37" s="96">
        <v>9</v>
      </c>
      <c r="P37" s="96"/>
      <c r="Q37" s="96">
        <v>15</v>
      </c>
      <c r="R37" s="96"/>
      <c r="S37" s="96"/>
    </row>
    <row r="38" spans="3:19" x14ac:dyDescent="0.3">
      <c r="C38" s="61" t="s">
        <v>79</v>
      </c>
      <c r="D38" s="61">
        <v>44</v>
      </c>
      <c r="E38" s="96">
        <v>117</v>
      </c>
      <c r="F38" s="96">
        <v>102</v>
      </c>
      <c r="G38" s="96">
        <v>34</v>
      </c>
      <c r="H38" s="96"/>
      <c r="I38" s="61" t="s">
        <v>79</v>
      </c>
      <c r="J38" s="61">
        <v>20</v>
      </c>
      <c r="K38" s="96">
        <v>32</v>
      </c>
      <c r="L38" s="96">
        <v>16</v>
      </c>
      <c r="M38" s="96">
        <v>3</v>
      </c>
      <c r="N38" s="96">
        <v>7</v>
      </c>
      <c r="O38" s="96">
        <v>12</v>
      </c>
      <c r="P38" s="96"/>
      <c r="Q38" s="96">
        <v>5</v>
      </c>
      <c r="R38" s="96"/>
      <c r="S38" s="96"/>
    </row>
    <row r="39" spans="3:19" x14ac:dyDescent="0.3">
      <c r="C39" s="61" t="s">
        <v>80</v>
      </c>
      <c r="D39" s="61">
        <v>33</v>
      </c>
      <c r="E39" s="96">
        <v>162</v>
      </c>
      <c r="F39" s="96">
        <v>161</v>
      </c>
      <c r="G39" s="96">
        <v>24</v>
      </c>
      <c r="H39" s="96"/>
      <c r="I39" s="61" t="s">
        <v>80</v>
      </c>
      <c r="J39" s="61">
        <v>23</v>
      </c>
      <c r="K39" s="96">
        <v>14</v>
      </c>
      <c r="L39" s="96">
        <v>17</v>
      </c>
      <c r="M39" s="96">
        <v>2</v>
      </c>
      <c r="N39" s="96">
        <v>5</v>
      </c>
      <c r="O39" s="96">
        <v>9</v>
      </c>
      <c r="P39" s="96"/>
      <c r="Q39" s="96">
        <v>5</v>
      </c>
      <c r="R39" s="96"/>
      <c r="S39" s="96"/>
    </row>
    <row r="40" spans="3:19" x14ac:dyDescent="0.3">
      <c r="C40" s="61" t="s">
        <v>81</v>
      </c>
      <c r="D40" s="61">
        <v>34</v>
      </c>
      <c r="E40" s="96">
        <v>156</v>
      </c>
      <c r="F40" s="96">
        <v>180</v>
      </c>
      <c r="G40" s="96">
        <v>18</v>
      </c>
      <c r="H40" s="96"/>
      <c r="I40" s="61" t="s">
        <v>81</v>
      </c>
      <c r="J40" s="61">
        <v>17</v>
      </c>
      <c r="K40" s="96">
        <v>26</v>
      </c>
      <c r="L40" s="96">
        <v>19</v>
      </c>
      <c r="M40" s="96">
        <v>2</v>
      </c>
      <c r="N40" s="96">
        <v>11</v>
      </c>
      <c r="O40" s="96">
        <v>7</v>
      </c>
      <c r="P40" s="96"/>
      <c r="Q40" s="96">
        <v>4</v>
      </c>
      <c r="R40" s="96"/>
      <c r="S40" s="96"/>
    </row>
    <row r="41" spans="3:19" x14ac:dyDescent="0.3">
      <c r="C41" s="61" t="s">
        <v>82</v>
      </c>
      <c r="D41" s="61">
        <v>50</v>
      </c>
      <c r="E41" s="96">
        <v>297</v>
      </c>
      <c r="F41" s="61">
        <v>310</v>
      </c>
      <c r="G41" s="96">
        <v>27</v>
      </c>
      <c r="H41" s="96"/>
      <c r="I41" s="61" t="s">
        <v>82</v>
      </c>
      <c r="J41" s="61">
        <v>32</v>
      </c>
      <c r="K41" s="96">
        <v>13</v>
      </c>
      <c r="L41" s="96">
        <v>26</v>
      </c>
      <c r="M41" s="96">
        <v>6</v>
      </c>
      <c r="N41" s="96">
        <v>4</v>
      </c>
      <c r="O41" s="96">
        <v>13</v>
      </c>
      <c r="P41" s="96"/>
      <c r="Q41" s="96">
        <v>3</v>
      </c>
      <c r="R41" s="96"/>
      <c r="S41" s="96"/>
    </row>
    <row r="42" spans="3:19" x14ac:dyDescent="0.3">
      <c r="C42" s="61" t="s">
        <v>83</v>
      </c>
      <c r="D42" s="61">
        <v>43</v>
      </c>
      <c r="E42" s="96">
        <v>305</v>
      </c>
      <c r="F42" s="61">
        <v>249</v>
      </c>
      <c r="G42" s="96">
        <v>26</v>
      </c>
      <c r="H42" s="96"/>
      <c r="I42" s="61" t="s">
        <v>83</v>
      </c>
      <c r="J42" s="61">
        <v>39</v>
      </c>
      <c r="K42" s="96">
        <v>22</v>
      </c>
      <c r="L42" s="96">
        <v>29</v>
      </c>
      <c r="M42" s="96">
        <v>11</v>
      </c>
      <c r="N42" s="96">
        <v>13</v>
      </c>
      <c r="O42" s="96">
        <v>14</v>
      </c>
      <c r="P42" s="96"/>
      <c r="Q42" s="96">
        <v>3</v>
      </c>
      <c r="R42" s="96"/>
      <c r="S42" s="96"/>
    </row>
    <row r="43" spans="3:19" x14ac:dyDescent="0.3">
      <c r="C43" s="61" t="s">
        <v>84</v>
      </c>
      <c r="D43" s="61">
        <v>32</v>
      </c>
      <c r="E43" s="96">
        <v>245</v>
      </c>
      <c r="F43" s="96">
        <v>230</v>
      </c>
      <c r="G43" s="96">
        <v>17</v>
      </c>
      <c r="H43" s="96"/>
      <c r="I43" s="61" t="s">
        <v>84</v>
      </c>
      <c r="J43" s="61">
        <v>47</v>
      </c>
      <c r="K43" s="96">
        <v>23</v>
      </c>
      <c r="L43" s="96">
        <v>28</v>
      </c>
      <c r="M43" s="96">
        <v>9</v>
      </c>
      <c r="N43" s="96">
        <v>11</v>
      </c>
      <c r="O43" s="96">
        <v>16</v>
      </c>
      <c r="P43" s="96"/>
      <c r="Q43" s="96">
        <v>6</v>
      </c>
      <c r="R43" s="96"/>
      <c r="S43" s="96"/>
    </row>
    <row r="44" spans="3:19" x14ac:dyDescent="0.3">
      <c r="C44" s="61" t="s">
        <v>85</v>
      </c>
      <c r="D44" s="61">
        <v>45</v>
      </c>
      <c r="E44" s="96">
        <v>180</v>
      </c>
      <c r="F44" s="96">
        <v>157</v>
      </c>
      <c r="G44" s="96">
        <v>28</v>
      </c>
      <c r="H44" s="96"/>
      <c r="I44" s="61" t="s">
        <v>85</v>
      </c>
      <c r="J44" s="61">
        <v>46</v>
      </c>
      <c r="K44" s="96">
        <v>24</v>
      </c>
      <c r="L44" s="96">
        <v>23</v>
      </c>
      <c r="M44" s="96">
        <v>11</v>
      </c>
      <c r="N44" s="96">
        <v>14</v>
      </c>
      <c r="O44" s="96">
        <v>17</v>
      </c>
      <c r="P44" s="96"/>
      <c r="Q44" s="96">
        <v>6</v>
      </c>
      <c r="R44" s="96"/>
      <c r="S44" s="96"/>
    </row>
    <row r="45" spans="3:19" x14ac:dyDescent="0.3">
      <c r="C45" s="61" t="s">
        <v>86</v>
      </c>
      <c r="D45" s="61">
        <v>40</v>
      </c>
      <c r="E45" s="96">
        <v>163</v>
      </c>
      <c r="F45" s="96">
        <v>153</v>
      </c>
      <c r="G45" s="96">
        <v>26</v>
      </c>
      <c r="H45" s="96"/>
      <c r="I45" s="61" t="s">
        <v>86</v>
      </c>
      <c r="J45" s="61">
        <v>42</v>
      </c>
      <c r="K45" s="96">
        <v>33</v>
      </c>
      <c r="L45" s="96">
        <v>25</v>
      </c>
      <c r="M45" s="96">
        <v>12</v>
      </c>
      <c r="N45" s="96">
        <v>14</v>
      </c>
      <c r="O45" s="96">
        <v>10</v>
      </c>
      <c r="P45" s="96"/>
      <c r="Q45" s="96">
        <v>9</v>
      </c>
      <c r="R45" s="96"/>
      <c r="S45" s="96"/>
    </row>
    <row r="46" spans="3:19" x14ac:dyDescent="0.3">
      <c r="C46" s="61" t="s">
        <v>87</v>
      </c>
      <c r="D46" s="61">
        <v>50</v>
      </c>
      <c r="E46" s="96">
        <v>129</v>
      </c>
      <c r="F46" s="96">
        <v>132</v>
      </c>
      <c r="G46" s="96">
        <v>33</v>
      </c>
      <c r="H46" s="96"/>
      <c r="I46" s="61" t="s">
        <v>87</v>
      </c>
      <c r="J46" s="61">
        <v>50</v>
      </c>
      <c r="K46" s="96">
        <v>27</v>
      </c>
      <c r="L46" s="96">
        <v>37</v>
      </c>
      <c r="M46" s="96">
        <v>11</v>
      </c>
      <c r="N46" s="96">
        <v>13</v>
      </c>
      <c r="O46" s="96">
        <v>21</v>
      </c>
      <c r="P46" s="96"/>
      <c r="Q46" s="96">
        <v>9</v>
      </c>
      <c r="R46" s="96"/>
      <c r="S46" s="96"/>
    </row>
    <row r="47" spans="3:19" x14ac:dyDescent="0.3">
      <c r="C47" s="61" t="s">
        <v>88</v>
      </c>
      <c r="D47" s="61">
        <v>59</v>
      </c>
      <c r="E47" s="96">
        <v>152</v>
      </c>
      <c r="F47" s="96">
        <v>146</v>
      </c>
      <c r="G47" s="96">
        <v>39</v>
      </c>
      <c r="H47" s="96"/>
      <c r="I47" s="61" t="s">
        <v>88</v>
      </c>
      <c r="J47" s="61">
        <v>37</v>
      </c>
      <c r="K47" s="96">
        <v>36</v>
      </c>
      <c r="L47" s="96">
        <v>23</v>
      </c>
      <c r="M47" s="96">
        <v>11</v>
      </c>
      <c r="N47" s="96">
        <v>15</v>
      </c>
      <c r="O47" s="96">
        <v>13</v>
      </c>
      <c r="P47" s="96"/>
      <c r="Q47" s="96">
        <v>5</v>
      </c>
      <c r="R47" s="96"/>
      <c r="S47" s="96"/>
    </row>
    <row r="48" spans="3:19" x14ac:dyDescent="0.3">
      <c r="C48" s="61" t="s">
        <v>89</v>
      </c>
      <c r="D48" s="61">
        <v>65</v>
      </c>
      <c r="E48" s="61">
        <v>168</v>
      </c>
      <c r="F48" s="96">
        <v>174</v>
      </c>
      <c r="G48" s="96">
        <v>45</v>
      </c>
      <c r="H48" s="96"/>
      <c r="I48" s="61" t="s">
        <v>89</v>
      </c>
      <c r="J48" s="61">
        <v>41</v>
      </c>
      <c r="K48" s="96">
        <v>33</v>
      </c>
      <c r="L48" s="96">
        <v>35</v>
      </c>
      <c r="M48" s="96">
        <v>12</v>
      </c>
      <c r="N48" s="96">
        <v>12</v>
      </c>
      <c r="O48" s="96">
        <v>11</v>
      </c>
      <c r="P48" s="96"/>
      <c r="Q48" s="96">
        <v>9</v>
      </c>
      <c r="R48" s="96"/>
      <c r="S48" s="96"/>
    </row>
    <row r="49" spans="3:19" x14ac:dyDescent="0.3">
      <c r="C49" s="61" t="s">
        <v>90</v>
      </c>
      <c r="D49" s="61">
        <v>70</v>
      </c>
      <c r="E49" s="61">
        <v>198</v>
      </c>
      <c r="F49" s="96">
        <v>204</v>
      </c>
      <c r="G49" s="96">
        <v>55</v>
      </c>
      <c r="H49" s="96"/>
      <c r="I49" s="61" t="s">
        <v>90</v>
      </c>
      <c r="J49" s="61">
        <v>55</v>
      </c>
      <c r="K49" s="96">
        <v>47</v>
      </c>
      <c r="L49" s="96">
        <v>37</v>
      </c>
      <c r="M49" s="96">
        <v>20</v>
      </c>
      <c r="N49" s="96">
        <v>15</v>
      </c>
      <c r="O49" s="96">
        <v>14</v>
      </c>
      <c r="P49" s="96"/>
      <c r="Q49" s="96">
        <v>6</v>
      </c>
      <c r="R49" s="96"/>
      <c r="S49" s="96"/>
    </row>
    <row r="50" spans="3:19" x14ac:dyDescent="0.3">
      <c r="C50" s="61" t="s">
        <v>91</v>
      </c>
      <c r="D50" s="61">
        <v>111</v>
      </c>
      <c r="E50" s="61">
        <v>184</v>
      </c>
      <c r="F50" s="96">
        <v>185</v>
      </c>
      <c r="G50" s="96">
        <v>95</v>
      </c>
      <c r="H50" s="96"/>
      <c r="I50" s="61" t="s">
        <v>91</v>
      </c>
      <c r="J50" s="61">
        <v>69</v>
      </c>
      <c r="K50" s="96">
        <v>19</v>
      </c>
      <c r="L50" s="96">
        <v>47</v>
      </c>
      <c r="M50" s="96">
        <v>32</v>
      </c>
      <c r="N50" s="96">
        <v>9</v>
      </c>
      <c r="O50" s="96">
        <v>17</v>
      </c>
      <c r="P50" s="96"/>
      <c r="Q50" s="96">
        <v>1</v>
      </c>
      <c r="R50" s="96"/>
      <c r="S50" s="96"/>
    </row>
    <row r="51" spans="3:19" x14ac:dyDescent="0.3">
      <c r="C51" s="61" t="s">
        <v>92</v>
      </c>
      <c r="D51" s="61">
        <v>65</v>
      </c>
      <c r="E51" s="61">
        <v>274</v>
      </c>
      <c r="F51" s="96">
        <v>223</v>
      </c>
      <c r="G51" s="96">
        <v>47</v>
      </c>
      <c r="H51" s="96"/>
      <c r="I51" s="61" t="s">
        <v>92</v>
      </c>
      <c r="J51" s="61">
        <v>45</v>
      </c>
      <c r="K51" s="96">
        <v>74</v>
      </c>
      <c r="L51" s="96">
        <v>46</v>
      </c>
      <c r="M51" s="96">
        <v>9</v>
      </c>
      <c r="N51" s="96">
        <v>33</v>
      </c>
      <c r="O51" s="96">
        <v>7</v>
      </c>
      <c r="P51" s="96"/>
      <c r="Q51" s="96">
        <v>10</v>
      </c>
      <c r="R51" s="96"/>
      <c r="S51" s="96"/>
    </row>
    <row r="52" spans="3:19" x14ac:dyDescent="0.3">
      <c r="C52" s="61" t="s">
        <v>93</v>
      </c>
      <c r="D52" s="61">
        <v>78</v>
      </c>
      <c r="E52" s="61">
        <v>220</v>
      </c>
      <c r="F52" s="61">
        <v>218</v>
      </c>
      <c r="G52" s="96">
        <v>69</v>
      </c>
      <c r="H52" s="96"/>
      <c r="I52" s="61" t="s">
        <v>93</v>
      </c>
      <c r="J52" s="61">
        <v>42</v>
      </c>
      <c r="K52" s="96">
        <v>46</v>
      </c>
      <c r="L52" s="96">
        <v>39</v>
      </c>
      <c r="M52" s="96">
        <v>14</v>
      </c>
      <c r="N52" s="96">
        <v>14</v>
      </c>
      <c r="O52" s="96">
        <v>13</v>
      </c>
      <c r="P52" s="96"/>
      <c r="Q52" s="96">
        <v>5</v>
      </c>
      <c r="R52" s="96"/>
      <c r="S52" s="96"/>
    </row>
    <row r="53" spans="3:19" x14ac:dyDescent="0.3">
      <c r="C53" s="61" t="s">
        <v>94</v>
      </c>
      <c r="D53" s="61">
        <v>53</v>
      </c>
      <c r="E53" s="61">
        <v>222</v>
      </c>
      <c r="F53" s="61">
        <v>247</v>
      </c>
      <c r="G53" s="96"/>
      <c r="H53" s="96"/>
      <c r="I53" s="61" t="s">
        <v>94</v>
      </c>
      <c r="J53" s="61">
        <v>11</v>
      </c>
      <c r="K53" s="61">
        <v>17</v>
      </c>
      <c r="L53" s="96">
        <v>29</v>
      </c>
      <c r="M53" s="96"/>
      <c r="N53" s="96"/>
      <c r="O53" s="96"/>
      <c r="P53" s="96"/>
      <c r="Q53" s="96"/>
      <c r="R53" s="96"/>
      <c r="S53" s="96"/>
    </row>
    <row r="54" spans="3:19" x14ac:dyDescent="0.3">
      <c r="C54" s="61" t="s">
        <v>95</v>
      </c>
      <c r="D54" s="61">
        <v>49</v>
      </c>
      <c r="E54" s="61">
        <v>367</v>
      </c>
      <c r="F54" s="61">
        <v>328</v>
      </c>
      <c r="G54" s="96"/>
      <c r="H54" s="96"/>
      <c r="I54" s="61" t="s">
        <v>95</v>
      </c>
      <c r="J54" s="61">
        <v>13</v>
      </c>
      <c r="K54" s="96">
        <v>36</v>
      </c>
      <c r="L54" s="96">
        <v>41</v>
      </c>
      <c r="M54" s="96"/>
      <c r="N54" s="96"/>
      <c r="O54" s="96"/>
      <c r="P54" s="96"/>
      <c r="Q54" s="96"/>
      <c r="R54" s="96"/>
      <c r="S54" s="96"/>
    </row>
    <row r="55" spans="3:19" x14ac:dyDescent="0.3">
      <c r="C55" s="61" t="s">
        <v>96</v>
      </c>
      <c r="D55" s="61">
        <v>42</v>
      </c>
      <c r="E55" s="61">
        <v>203</v>
      </c>
      <c r="F55" s="61">
        <v>179</v>
      </c>
      <c r="G55" s="96"/>
      <c r="H55" s="96"/>
      <c r="I55" s="61" t="s">
        <v>96</v>
      </c>
      <c r="J55" s="61">
        <v>21</v>
      </c>
      <c r="K55" s="96">
        <v>31</v>
      </c>
      <c r="L55" s="96">
        <v>29</v>
      </c>
      <c r="M55" s="96"/>
      <c r="N55" s="96"/>
      <c r="O55" s="96"/>
      <c r="P55" s="96"/>
      <c r="Q55" s="96"/>
      <c r="R55" s="96"/>
      <c r="S55" s="96"/>
    </row>
    <row r="56" spans="3:19" x14ac:dyDescent="0.3">
      <c r="C56" s="61" t="s">
        <v>97</v>
      </c>
      <c r="D56" s="61">
        <v>39</v>
      </c>
      <c r="E56" s="61">
        <v>145</v>
      </c>
      <c r="F56" s="61">
        <v>135</v>
      </c>
      <c r="G56" s="96"/>
      <c r="H56" s="96"/>
      <c r="I56" s="61" t="s">
        <v>97</v>
      </c>
      <c r="J56" s="61">
        <v>73</v>
      </c>
      <c r="K56" s="96">
        <v>27</v>
      </c>
      <c r="L56" s="96">
        <v>32</v>
      </c>
      <c r="M56" s="96"/>
      <c r="N56" s="96"/>
      <c r="O56" s="96"/>
      <c r="P56" s="96"/>
      <c r="Q56" s="96"/>
      <c r="R56" s="96"/>
      <c r="S56" s="96"/>
    </row>
    <row r="57" spans="3:19" x14ac:dyDescent="0.3">
      <c r="C57" s="61" t="s">
        <v>46</v>
      </c>
      <c r="D57" s="61">
        <v>32</v>
      </c>
      <c r="E57" s="61">
        <v>154</v>
      </c>
      <c r="F57" s="61">
        <v>144</v>
      </c>
      <c r="G57" s="96">
        <v>78</v>
      </c>
      <c r="H57" s="96"/>
      <c r="I57" s="61" t="s">
        <v>46</v>
      </c>
      <c r="J57" s="61">
        <v>27</v>
      </c>
      <c r="K57" s="96">
        <v>6</v>
      </c>
      <c r="L57" s="96">
        <v>33</v>
      </c>
      <c r="M57" s="96">
        <v>9</v>
      </c>
      <c r="N57" s="96">
        <v>1</v>
      </c>
      <c r="O57" s="96">
        <v>3</v>
      </c>
      <c r="P57" s="96"/>
      <c r="Q57" s="96">
        <v>0</v>
      </c>
      <c r="R57" s="96" t="s">
        <v>182</v>
      </c>
      <c r="S57" s="96"/>
    </row>
    <row r="58" spans="3:19" x14ac:dyDescent="0.3">
      <c r="C58" s="61" t="s">
        <v>47</v>
      </c>
      <c r="D58" s="61">
        <v>2</v>
      </c>
      <c r="E58" s="61">
        <v>181</v>
      </c>
      <c r="F58" s="61">
        <v>180</v>
      </c>
      <c r="G58" s="96">
        <v>96</v>
      </c>
      <c r="H58" s="96"/>
      <c r="I58" s="61" t="s">
        <v>47</v>
      </c>
      <c r="J58" s="61">
        <v>6</v>
      </c>
      <c r="K58" s="96">
        <v>36</v>
      </c>
      <c r="L58" s="96">
        <v>29</v>
      </c>
      <c r="M58" s="96">
        <v>3</v>
      </c>
      <c r="N58" s="96">
        <v>23</v>
      </c>
      <c r="O58" s="96">
        <v>3</v>
      </c>
      <c r="P58" s="96"/>
      <c r="Q58" s="96"/>
      <c r="R58" s="96"/>
      <c r="S58" s="96"/>
    </row>
    <row r="59" spans="3:19" x14ac:dyDescent="0.3">
      <c r="C59" s="61" t="s">
        <v>48</v>
      </c>
      <c r="D59" s="61">
        <v>7</v>
      </c>
      <c r="E59" s="61">
        <v>137</v>
      </c>
      <c r="F59" s="61">
        <v>123</v>
      </c>
      <c r="G59" s="96">
        <v>80</v>
      </c>
      <c r="H59" s="96"/>
      <c r="I59" s="61" t="s">
        <v>48</v>
      </c>
      <c r="J59" s="61">
        <v>17</v>
      </c>
      <c r="K59" s="96">
        <v>36</v>
      </c>
      <c r="L59" s="96">
        <v>27</v>
      </c>
      <c r="M59" s="96">
        <v>11</v>
      </c>
      <c r="N59" s="96">
        <v>10</v>
      </c>
      <c r="O59" s="96">
        <v>6</v>
      </c>
      <c r="P59" s="96"/>
      <c r="Q59" s="96"/>
      <c r="R59" s="96"/>
      <c r="S59" s="96"/>
    </row>
    <row r="60" spans="3:19" x14ac:dyDescent="0.3">
      <c r="C60" s="61" t="s">
        <v>49</v>
      </c>
      <c r="D60" s="61">
        <v>9</v>
      </c>
      <c r="E60" s="61">
        <v>194</v>
      </c>
      <c r="F60" s="61">
        <v>186</v>
      </c>
      <c r="G60" s="96">
        <v>65</v>
      </c>
      <c r="H60" s="96"/>
      <c r="I60" s="61" t="s">
        <v>49</v>
      </c>
      <c r="J60" s="61">
        <v>16</v>
      </c>
      <c r="K60" s="96">
        <v>38</v>
      </c>
      <c r="L60" s="96">
        <v>33</v>
      </c>
      <c r="M60" s="96">
        <v>9</v>
      </c>
      <c r="N60" s="96">
        <v>17</v>
      </c>
      <c r="O60" s="96">
        <v>6</v>
      </c>
      <c r="P60" s="96"/>
      <c r="Q60" s="96">
        <v>1</v>
      </c>
      <c r="R60" s="96" t="s">
        <v>183</v>
      </c>
      <c r="S60" s="96"/>
    </row>
    <row r="61" spans="3:19" x14ac:dyDescent="0.3">
      <c r="C61" s="61" t="s">
        <v>50</v>
      </c>
      <c r="D61" s="61">
        <v>4</v>
      </c>
      <c r="E61" s="61">
        <v>98</v>
      </c>
      <c r="F61" s="61">
        <v>93</v>
      </c>
      <c r="G61" s="96">
        <v>48</v>
      </c>
      <c r="H61" s="96"/>
      <c r="I61" s="61" t="s">
        <v>50</v>
      </c>
      <c r="J61" s="61">
        <v>26</v>
      </c>
      <c r="K61" s="96">
        <v>20</v>
      </c>
      <c r="L61" s="96">
        <v>46</v>
      </c>
      <c r="M61" s="96">
        <v>15</v>
      </c>
      <c r="N61" s="96">
        <v>20</v>
      </c>
      <c r="O61" s="96">
        <v>11</v>
      </c>
      <c r="P61" s="96"/>
      <c r="Q61" s="96"/>
      <c r="R61" s="96"/>
      <c r="S61" s="96"/>
    </row>
    <row r="62" spans="3:19" x14ac:dyDescent="0.3">
      <c r="C62" s="61" t="s">
        <v>51</v>
      </c>
      <c r="D62" s="61">
        <v>24</v>
      </c>
      <c r="E62" s="61">
        <v>145</v>
      </c>
      <c r="F62" s="61">
        <v>185</v>
      </c>
      <c r="G62" s="96">
        <v>58</v>
      </c>
      <c r="H62" s="96"/>
      <c r="I62" s="61" t="s">
        <v>51</v>
      </c>
      <c r="J62" s="61">
        <v>2</v>
      </c>
      <c r="K62" s="96">
        <v>43</v>
      </c>
      <c r="L62" s="96">
        <v>21</v>
      </c>
      <c r="M62" s="96">
        <v>2</v>
      </c>
      <c r="N62" s="96"/>
      <c r="O62" s="96"/>
      <c r="P62" s="96"/>
      <c r="Q62" s="96"/>
      <c r="R62" s="96"/>
      <c r="S62" s="96"/>
    </row>
    <row r="63" spans="3:19" x14ac:dyDescent="0.3">
      <c r="C63" s="61" t="s">
        <v>52</v>
      </c>
      <c r="D63" s="61">
        <v>23</v>
      </c>
      <c r="E63" s="61">
        <v>181</v>
      </c>
      <c r="F63" s="61">
        <v>178</v>
      </c>
      <c r="G63" s="96">
        <v>52</v>
      </c>
      <c r="H63" s="96"/>
      <c r="I63" s="61" t="s">
        <v>52</v>
      </c>
      <c r="J63" s="61">
        <v>25</v>
      </c>
      <c r="K63" s="96">
        <v>36</v>
      </c>
      <c r="L63" s="96">
        <v>40</v>
      </c>
      <c r="M63" s="96">
        <v>17</v>
      </c>
      <c r="N63" s="96"/>
      <c r="O63" s="96">
        <v>4</v>
      </c>
      <c r="P63" s="96">
        <v>4</v>
      </c>
      <c r="Q63" s="96"/>
      <c r="R63" s="96"/>
      <c r="S63" s="96"/>
    </row>
    <row r="64" spans="3:19" x14ac:dyDescent="0.3">
      <c r="C64" s="61" t="s">
        <v>53</v>
      </c>
      <c r="D64" s="61">
        <v>19</v>
      </c>
      <c r="E64" s="61">
        <v>188</v>
      </c>
      <c r="F64" s="61">
        <v>183</v>
      </c>
      <c r="G64" s="96">
        <v>63</v>
      </c>
      <c r="H64" s="96"/>
      <c r="I64" s="61" t="s">
        <v>53</v>
      </c>
      <c r="J64" s="61">
        <v>27</v>
      </c>
      <c r="K64" s="96">
        <v>38</v>
      </c>
      <c r="L64" s="96">
        <v>40</v>
      </c>
      <c r="M64" s="96">
        <v>19</v>
      </c>
      <c r="N64" s="96"/>
      <c r="O64" s="96">
        <v>4</v>
      </c>
      <c r="P64" s="96">
        <v>4</v>
      </c>
      <c r="Q64" s="96"/>
      <c r="R64" s="96"/>
      <c r="S64" s="96"/>
    </row>
    <row r="65" spans="3:19" x14ac:dyDescent="0.3">
      <c r="C65" s="61" t="s">
        <v>54</v>
      </c>
      <c r="D65" s="61">
        <v>59</v>
      </c>
      <c r="E65" s="61">
        <v>149</v>
      </c>
      <c r="F65" s="61">
        <v>144</v>
      </c>
      <c r="G65" s="96"/>
      <c r="H65" s="96"/>
      <c r="I65" s="61" t="s">
        <v>54</v>
      </c>
      <c r="J65" s="61">
        <f>L65-K65</f>
        <v>14</v>
      </c>
      <c r="K65" s="96">
        <v>31</v>
      </c>
      <c r="L65" s="96">
        <v>45</v>
      </c>
      <c r="M65" s="96">
        <v>7</v>
      </c>
      <c r="N65" s="96"/>
      <c r="O65" s="96">
        <v>1</v>
      </c>
      <c r="P65" s="96">
        <v>6</v>
      </c>
      <c r="Q65" s="96"/>
      <c r="R65" s="96"/>
      <c r="S65" s="96"/>
    </row>
    <row r="66" spans="3:19" x14ac:dyDescent="0.3">
      <c r="C66" s="61" t="s">
        <v>55</v>
      </c>
      <c r="D66" s="61">
        <v>104</v>
      </c>
      <c r="E66" s="61">
        <v>180</v>
      </c>
      <c r="F66" s="61">
        <v>234</v>
      </c>
      <c r="G66" s="96">
        <v>64</v>
      </c>
      <c r="H66" s="96"/>
      <c r="I66" s="61" t="s">
        <v>55</v>
      </c>
      <c r="J66" s="61">
        <v>25</v>
      </c>
      <c r="K66" s="96">
        <v>24</v>
      </c>
      <c r="L66" s="96">
        <v>46</v>
      </c>
      <c r="M66" s="96">
        <v>52</v>
      </c>
      <c r="N66" s="96">
        <v>10</v>
      </c>
      <c r="O66" s="96">
        <v>14</v>
      </c>
      <c r="P66" s="96">
        <v>29</v>
      </c>
      <c r="Q66" s="96"/>
      <c r="R66" s="96"/>
      <c r="S66" s="96"/>
    </row>
    <row r="67" spans="3:19" x14ac:dyDescent="0.3">
      <c r="C67" s="61" t="s">
        <v>56</v>
      </c>
      <c r="D67" s="61">
        <v>13</v>
      </c>
      <c r="E67" s="61">
        <v>221</v>
      </c>
      <c r="F67" s="61">
        <v>233</v>
      </c>
      <c r="G67" s="96">
        <v>86</v>
      </c>
      <c r="H67" s="96"/>
      <c r="I67" s="61" t="s">
        <v>56</v>
      </c>
      <c r="J67" s="61">
        <v>16</v>
      </c>
      <c r="K67" s="96">
        <v>36</v>
      </c>
      <c r="L67" s="96">
        <v>38</v>
      </c>
      <c r="M67" s="96">
        <v>12</v>
      </c>
      <c r="N67" s="96">
        <v>19</v>
      </c>
      <c r="O67" s="96">
        <v>2</v>
      </c>
      <c r="P67" s="96">
        <v>3</v>
      </c>
      <c r="Q67" s="96"/>
      <c r="R67" s="96"/>
      <c r="S67" s="96"/>
    </row>
    <row r="68" spans="3:19" x14ac:dyDescent="0.3">
      <c r="C68" s="61" t="s">
        <v>57</v>
      </c>
      <c r="D68" s="61">
        <v>31</v>
      </c>
      <c r="E68" s="61">
        <v>303</v>
      </c>
      <c r="F68" s="61">
        <v>207</v>
      </c>
      <c r="G68" s="96">
        <v>101</v>
      </c>
      <c r="H68" s="96"/>
      <c r="I68" s="61" t="s">
        <v>57</v>
      </c>
      <c r="J68" s="61">
        <v>23</v>
      </c>
      <c r="K68" s="96">
        <v>41</v>
      </c>
      <c r="L68" s="96">
        <v>37</v>
      </c>
      <c r="M68" s="96">
        <v>5</v>
      </c>
      <c r="N68" s="96">
        <v>14</v>
      </c>
      <c r="O68" s="96">
        <v>4</v>
      </c>
      <c r="P68" s="96">
        <v>11</v>
      </c>
      <c r="Q68" s="96"/>
      <c r="R68" s="96"/>
      <c r="S68" s="96"/>
    </row>
    <row r="69" spans="3:19" x14ac:dyDescent="0.3">
      <c r="C69" s="61" t="s">
        <v>58</v>
      </c>
      <c r="D69" s="61">
        <v>20</v>
      </c>
      <c r="E69" s="61">
        <v>181</v>
      </c>
      <c r="F69" s="61">
        <v>137</v>
      </c>
      <c r="G69" s="96">
        <v>62</v>
      </c>
      <c r="H69" s="96"/>
      <c r="I69" s="61" t="s">
        <v>58</v>
      </c>
      <c r="J69" s="61">
        <v>28</v>
      </c>
      <c r="K69" s="96">
        <v>31</v>
      </c>
      <c r="L69" s="96">
        <v>33</v>
      </c>
      <c r="M69" s="96">
        <v>6</v>
      </c>
      <c r="N69" s="96"/>
      <c r="O69" s="96">
        <v>7</v>
      </c>
      <c r="P69" s="96">
        <v>15</v>
      </c>
      <c r="Q69" s="96"/>
      <c r="R69" s="96"/>
      <c r="S69" s="96"/>
    </row>
    <row r="70" spans="3:19" x14ac:dyDescent="0.3">
      <c r="C70" s="61" t="s">
        <v>59</v>
      </c>
      <c r="D70" s="61">
        <v>44</v>
      </c>
      <c r="E70" s="61">
        <v>182</v>
      </c>
      <c r="F70" s="61">
        <v>190</v>
      </c>
      <c r="G70" s="96">
        <v>56</v>
      </c>
      <c r="H70" s="96"/>
      <c r="I70" s="61" t="s">
        <v>59</v>
      </c>
      <c r="J70" s="61">
        <v>29</v>
      </c>
      <c r="K70" s="96">
        <v>56</v>
      </c>
      <c r="L70" s="96">
        <v>34</v>
      </c>
      <c r="M70" s="96">
        <v>12</v>
      </c>
      <c r="N70" s="96">
        <v>21</v>
      </c>
      <c r="O70" s="96">
        <v>5</v>
      </c>
      <c r="P70" s="96">
        <v>12</v>
      </c>
      <c r="Q70" s="96"/>
      <c r="R70" s="96"/>
      <c r="S70" s="96"/>
    </row>
    <row r="71" spans="3:19" x14ac:dyDescent="0.3">
      <c r="C71" s="61" t="s">
        <v>60</v>
      </c>
      <c r="D71" s="61">
        <v>66</v>
      </c>
      <c r="E71" s="61">
        <v>292</v>
      </c>
      <c r="F71" s="61">
        <v>278</v>
      </c>
      <c r="G71" s="96">
        <v>86</v>
      </c>
      <c r="H71" s="96"/>
      <c r="I71" s="61" t="s">
        <v>60</v>
      </c>
      <c r="J71" s="61">
        <v>35</v>
      </c>
      <c r="K71" s="96">
        <v>32</v>
      </c>
      <c r="L71" s="96">
        <v>44</v>
      </c>
      <c r="M71" s="96">
        <v>17</v>
      </c>
      <c r="N71" s="96"/>
      <c r="O71" s="96">
        <v>8</v>
      </c>
      <c r="P71" s="96">
        <v>7</v>
      </c>
      <c r="Q71" s="96"/>
      <c r="R71" s="96"/>
      <c r="S71" s="96"/>
    </row>
    <row r="72" spans="3:19" x14ac:dyDescent="0.3">
      <c r="C72" s="61" t="s">
        <v>61</v>
      </c>
      <c r="D72" s="61">
        <v>16</v>
      </c>
      <c r="E72" s="61">
        <v>108</v>
      </c>
      <c r="F72" s="61">
        <v>124</v>
      </c>
      <c r="G72" s="96">
        <v>45</v>
      </c>
      <c r="H72" s="96"/>
      <c r="I72" s="61" t="s">
        <v>61</v>
      </c>
      <c r="J72" s="61">
        <v>26</v>
      </c>
      <c r="K72" s="96">
        <v>32</v>
      </c>
      <c r="L72" s="96">
        <v>30</v>
      </c>
      <c r="M72" s="96">
        <v>9</v>
      </c>
      <c r="N72" s="96"/>
      <c r="O72" s="96">
        <v>1</v>
      </c>
      <c r="P72" s="96">
        <v>16</v>
      </c>
      <c r="Q72" s="96"/>
      <c r="R72" s="96"/>
      <c r="S72" s="96"/>
    </row>
    <row r="73" spans="3:19" x14ac:dyDescent="0.3">
      <c r="C73" s="61" t="s">
        <v>62</v>
      </c>
      <c r="D73" s="61">
        <v>66</v>
      </c>
      <c r="E73" s="61">
        <v>137</v>
      </c>
      <c r="F73" s="61">
        <v>203</v>
      </c>
      <c r="G73" s="96">
        <v>52</v>
      </c>
      <c r="H73" s="96"/>
      <c r="I73" s="61" t="s">
        <v>62</v>
      </c>
      <c r="J73" s="61">
        <v>26</v>
      </c>
      <c r="K73" s="96">
        <v>44</v>
      </c>
      <c r="L73" s="96">
        <v>40</v>
      </c>
      <c r="M73" s="96">
        <v>7</v>
      </c>
      <c r="N73" s="96"/>
      <c r="O73" s="96">
        <v>8</v>
      </c>
      <c r="P73" s="96">
        <v>8</v>
      </c>
      <c r="Q73" s="96"/>
      <c r="R73" s="96">
        <v>2</v>
      </c>
      <c r="S73" s="96">
        <v>1</v>
      </c>
    </row>
    <row r="74" spans="3:19" x14ac:dyDescent="0.3">
      <c r="C74" s="61" t="s">
        <v>63</v>
      </c>
      <c r="D74" s="61">
        <v>19</v>
      </c>
      <c r="E74" s="61">
        <v>150</v>
      </c>
      <c r="F74" s="61">
        <v>169</v>
      </c>
      <c r="G74" s="96">
        <v>52</v>
      </c>
      <c r="H74" s="96"/>
      <c r="I74" s="61" t="s">
        <v>63</v>
      </c>
      <c r="J74" s="61">
        <v>33</v>
      </c>
      <c r="K74" s="96">
        <v>28</v>
      </c>
      <c r="L74" s="96">
        <v>44</v>
      </c>
      <c r="M74" s="96">
        <v>13</v>
      </c>
      <c r="N74" s="96"/>
      <c r="O74" s="96">
        <v>3</v>
      </c>
      <c r="P74" s="96">
        <v>14</v>
      </c>
      <c r="Q74" s="96"/>
      <c r="R74" s="96"/>
      <c r="S74" s="96">
        <v>3</v>
      </c>
    </row>
    <row r="75" spans="3:19" x14ac:dyDescent="0.3">
      <c r="C75" s="61" t="s">
        <v>64</v>
      </c>
      <c r="D75" s="61">
        <v>8</v>
      </c>
      <c r="E75" s="61">
        <v>114</v>
      </c>
      <c r="F75" s="61">
        <v>122</v>
      </c>
      <c r="G75" s="96">
        <v>127</v>
      </c>
      <c r="H75" s="96"/>
      <c r="I75" s="61" t="s">
        <v>64</v>
      </c>
      <c r="J75" s="61">
        <v>36</v>
      </c>
      <c r="K75" s="96">
        <v>16</v>
      </c>
      <c r="L75" s="96">
        <v>52</v>
      </c>
      <c r="M75" s="96">
        <v>21</v>
      </c>
      <c r="N75" s="96"/>
      <c r="O75" s="96">
        <v>5</v>
      </c>
      <c r="P75" s="96">
        <v>7</v>
      </c>
      <c r="Q75" s="96">
        <v>2</v>
      </c>
      <c r="R75" s="96">
        <v>1</v>
      </c>
      <c r="S75" s="96">
        <v>2</v>
      </c>
    </row>
    <row r="76" spans="3:19" x14ac:dyDescent="0.3">
      <c r="C76" s="61" t="s">
        <v>65</v>
      </c>
      <c r="D76" s="61">
        <v>31</v>
      </c>
      <c r="E76" s="61">
        <v>142</v>
      </c>
      <c r="F76" s="61">
        <v>173</v>
      </c>
      <c r="G76" s="96">
        <v>62</v>
      </c>
      <c r="H76" s="96"/>
      <c r="I76" s="61" t="s">
        <v>65</v>
      </c>
      <c r="J76" s="61">
        <v>91</v>
      </c>
      <c r="K76" s="96">
        <v>45</v>
      </c>
      <c r="L76" s="96">
        <v>106</v>
      </c>
      <c r="M76" s="96">
        <v>9</v>
      </c>
      <c r="N76" s="96"/>
      <c r="O76" s="96">
        <v>8</v>
      </c>
      <c r="P76" s="96">
        <v>73</v>
      </c>
      <c r="Q76" s="96">
        <v>2</v>
      </c>
      <c r="R76" s="96"/>
      <c r="S76" s="96">
        <v>2</v>
      </c>
    </row>
    <row r="77" spans="3:19" x14ac:dyDescent="0.3">
      <c r="C77" s="61" t="s">
        <v>66</v>
      </c>
      <c r="D77" s="61">
        <v>57</v>
      </c>
      <c r="E77" s="61">
        <v>106</v>
      </c>
      <c r="F77" s="61">
        <v>163</v>
      </c>
      <c r="G77" s="96">
        <v>63</v>
      </c>
      <c r="H77" s="96"/>
      <c r="I77" s="61" t="s">
        <v>66</v>
      </c>
      <c r="J77" s="61">
        <v>21</v>
      </c>
      <c r="K77" s="96">
        <v>9</v>
      </c>
      <c r="L77" s="96">
        <v>30</v>
      </c>
      <c r="M77" s="96">
        <v>8</v>
      </c>
      <c r="N77" s="96"/>
      <c r="O77" s="96">
        <v>2</v>
      </c>
      <c r="P77" s="96">
        <v>9</v>
      </c>
      <c r="Q77" s="96"/>
      <c r="R77" s="96">
        <v>2</v>
      </c>
      <c r="S77" s="96">
        <v>1</v>
      </c>
    </row>
    <row r="78" spans="3:19" x14ac:dyDescent="0.3">
      <c r="C78" s="61" t="s">
        <v>67</v>
      </c>
      <c r="D78" s="61">
        <v>33</v>
      </c>
      <c r="E78" s="61">
        <v>117</v>
      </c>
      <c r="F78" s="61">
        <v>150</v>
      </c>
      <c r="G78" s="96">
        <v>69</v>
      </c>
      <c r="H78" s="96"/>
      <c r="I78" s="61" t="s">
        <v>67</v>
      </c>
      <c r="J78" s="61">
        <v>27</v>
      </c>
      <c r="K78" s="96">
        <v>15</v>
      </c>
      <c r="L78" s="96">
        <v>42</v>
      </c>
      <c r="M78" s="96">
        <v>9</v>
      </c>
      <c r="N78" s="96"/>
      <c r="O78" s="96">
        <v>5</v>
      </c>
      <c r="P78" s="96">
        <v>13</v>
      </c>
      <c r="Q78" s="96"/>
      <c r="R78" s="96"/>
      <c r="S78" s="96"/>
    </row>
    <row r="79" spans="3:19" x14ac:dyDescent="0.3">
      <c r="C79" s="61" t="s">
        <v>68</v>
      </c>
      <c r="D79" s="61">
        <v>28</v>
      </c>
      <c r="E79" s="61">
        <v>237</v>
      </c>
      <c r="F79" s="61">
        <v>265</v>
      </c>
      <c r="G79" s="96">
        <v>110</v>
      </c>
      <c r="H79" s="96"/>
      <c r="I79" s="61" t="s">
        <v>68</v>
      </c>
      <c r="J79" s="61">
        <v>26</v>
      </c>
      <c r="K79" s="96">
        <v>10</v>
      </c>
      <c r="L79" s="96">
        <v>36</v>
      </c>
      <c r="M79" s="96">
        <v>13</v>
      </c>
      <c r="N79" s="96"/>
      <c r="O79" s="96"/>
      <c r="P79" s="96">
        <v>7</v>
      </c>
      <c r="Q79" s="96"/>
      <c r="R79" s="96">
        <v>3</v>
      </c>
      <c r="S79" s="96">
        <v>3</v>
      </c>
    </row>
    <row r="80" spans="3:19" x14ac:dyDescent="0.3">
      <c r="C80" s="61" t="s">
        <v>69</v>
      </c>
      <c r="D80" s="61">
        <v>30</v>
      </c>
      <c r="E80" s="61">
        <v>117</v>
      </c>
      <c r="F80" s="61">
        <v>147</v>
      </c>
      <c r="G80" s="96">
        <v>99</v>
      </c>
      <c r="H80" s="96"/>
      <c r="I80" s="61" t="s">
        <v>69</v>
      </c>
      <c r="J80" s="61">
        <v>15</v>
      </c>
      <c r="K80" s="96">
        <v>13</v>
      </c>
      <c r="L80" s="96">
        <v>28</v>
      </c>
      <c r="M80" s="96">
        <v>3</v>
      </c>
      <c r="N80" s="96"/>
      <c r="O80" s="96">
        <v>6</v>
      </c>
      <c r="P80" s="96">
        <v>5</v>
      </c>
      <c r="Q80" s="96">
        <v>1</v>
      </c>
      <c r="R80" s="96"/>
      <c r="S80" s="96">
        <v>1</v>
      </c>
    </row>
    <row r="81" spans="1:19" x14ac:dyDescent="0.3">
      <c r="C81" s="61" t="s">
        <v>70</v>
      </c>
      <c r="D81" s="61">
        <v>71</v>
      </c>
      <c r="E81" s="61">
        <v>174</v>
      </c>
      <c r="F81" s="61">
        <v>297</v>
      </c>
      <c r="G81" s="96">
        <v>54</v>
      </c>
      <c r="H81" s="96"/>
      <c r="I81" s="61" t="s">
        <v>70</v>
      </c>
      <c r="J81" s="61">
        <v>23</v>
      </c>
      <c r="K81" s="96">
        <v>14</v>
      </c>
      <c r="L81" s="96">
        <v>37</v>
      </c>
      <c r="M81" s="96">
        <v>3</v>
      </c>
      <c r="N81" s="96"/>
      <c r="O81" s="96">
        <v>6</v>
      </c>
      <c r="P81" s="96">
        <v>11</v>
      </c>
      <c r="Q81" s="96">
        <v>1</v>
      </c>
      <c r="R81" s="96">
        <v>2</v>
      </c>
      <c r="S81" s="96">
        <v>1</v>
      </c>
    </row>
    <row r="82" spans="1:19" x14ac:dyDescent="0.3">
      <c r="C82" s="61" t="s">
        <v>71</v>
      </c>
      <c r="D82" s="61">
        <v>44</v>
      </c>
      <c r="E82" s="61">
        <v>108</v>
      </c>
      <c r="F82" s="61">
        <v>152</v>
      </c>
      <c r="G82" s="96">
        <v>65</v>
      </c>
      <c r="H82" s="96"/>
      <c r="I82" s="61" t="s">
        <v>71</v>
      </c>
      <c r="J82" s="61">
        <v>26</v>
      </c>
      <c r="K82" s="96">
        <v>5</v>
      </c>
      <c r="L82" s="96">
        <v>31</v>
      </c>
      <c r="M82" s="96">
        <v>12</v>
      </c>
      <c r="N82" s="96"/>
      <c r="O82" s="96">
        <v>5</v>
      </c>
      <c r="P82" s="96">
        <v>7</v>
      </c>
      <c r="Q82" s="96"/>
      <c r="R82" s="96">
        <v>1</v>
      </c>
      <c r="S82" s="96">
        <v>1</v>
      </c>
    </row>
    <row r="83" spans="1:19" x14ac:dyDescent="0.3">
      <c r="C83" s="61" t="s">
        <v>72</v>
      </c>
      <c r="D83" s="61">
        <v>66</v>
      </c>
      <c r="E83" s="61">
        <v>181</v>
      </c>
      <c r="F83" s="61">
        <v>247</v>
      </c>
      <c r="G83" s="96">
        <v>136</v>
      </c>
      <c r="H83" s="96"/>
      <c r="I83" s="61" t="s">
        <v>72</v>
      </c>
      <c r="J83" s="61">
        <v>14</v>
      </c>
      <c r="K83" s="96">
        <v>8</v>
      </c>
      <c r="L83" s="96">
        <v>22</v>
      </c>
      <c r="M83" s="96">
        <v>2</v>
      </c>
      <c r="N83" s="96"/>
      <c r="O83" s="96">
        <v>4</v>
      </c>
      <c r="P83" s="96">
        <v>8</v>
      </c>
      <c r="Q83" s="96"/>
      <c r="R83" s="96"/>
      <c r="S83" s="96"/>
    </row>
    <row r="84" spans="1:19" x14ac:dyDescent="0.3">
      <c r="C84" s="61" t="s">
        <v>73</v>
      </c>
      <c r="D84" s="61">
        <v>85</v>
      </c>
      <c r="E84" s="61">
        <v>181</v>
      </c>
      <c r="F84" s="61">
        <v>266</v>
      </c>
      <c r="G84" s="96">
        <v>92</v>
      </c>
      <c r="H84" s="96"/>
      <c r="I84" s="61" t="s">
        <v>73</v>
      </c>
      <c r="J84" s="61">
        <v>24</v>
      </c>
      <c r="K84" s="96">
        <v>8</v>
      </c>
      <c r="L84" s="96">
        <v>32</v>
      </c>
      <c r="M84" s="96">
        <v>9</v>
      </c>
      <c r="N84" s="96"/>
      <c r="O84" s="96">
        <v>6</v>
      </c>
      <c r="P84" s="96">
        <v>7</v>
      </c>
      <c r="Q84" s="96"/>
      <c r="R84" s="96">
        <v>2</v>
      </c>
      <c r="S84" s="96"/>
    </row>
    <row r="85" spans="1:19" x14ac:dyDescent="0.3">
      <c r="C85" s="61" t="s">
        <v>74</v>
      </c>
      <c r="D85" s="61">
        <v>43</v>
      </c>
      <c r="E85" s="61">
        <v>170</v>
      </c>
      <c r="F85" s="61">
        <v>213</v>
      </c>
      <c r="G85" s="96">
        <v>102</v>
      </c>
      <c r="H85" s="96"/>
      <c r="I85" s="61" t="s">
        <v>74</v>
      </c>
      <c r="J85" s="61">
        <v>79</v>
      </c>
      <c r="K85" s="96">
        <v>10</v>
      </c>
      <c r="L85" s="96">
        <v>89</v>
      </c>
      <c r="M85" s="96">
        <v>10</v>
      </c>
      <c r="N85" s="96"/>
      <c r="O85" s="96">
        <v>6</v>
      </c>
      <c r="P85" s="96">
        <v>61</v>
      </c>
      <c r="Q85" s="96"/>
      <c r="R85" s="96">
        <v>2</v>
      </c>
      <c r="S85" s="96"/>
    </row>
    <row r="86" spans="1:19" x14ac:dyDescent="0.3">
      <c r="C86" s="61" t="s">
        <v>75</v>
      </c>
      <c r="D86" s="96">
        <v>55</v>
      </c>
      <c r="E86" s="61">
        <v>75</v>
      </c>
      <c r="F86" s="61">
        <v>130</v>
      </c>
      <c r="G86" s="96">
        <v>93</v>
      </c>
      <c r="H86" s="96"/>
      <c r="I86" s="61" t="s">
        <v>75</v>
      </c>
      <c r="J86" s="96">
        <v>7</v>
      </c>
      <c r="K86" s="96">
        <v>3</v>
      </c>
      <c r="L86" s="96">
        <v>10</v>
      </c>
      <c r="M86" s="96">
        <v>0</v>
      </c>
      <c r="N86" s="96"/>
      <c r="O86" s="96">
        <v>3</v>
      </c>
      <c r="P86" s="96">
        <v>3</v>
      </c>
      <c r="Q86" s="96"/>
      <c r="R86" s="96">
        <v>1</v>
      </c>
      <c r="S86" s="96"/>
    </row>
    <row r="87" spans="1:19" x14ac:dyDescent="0.3">
      <c r="C87" s="61" t="s">
        <v>76</v>
      </c>
      <c r="D87" s="96">
        <v>133</v>
      </c>
      <c r="E87" s="61">
        <v>179</v>
      </c>
      <c r="F87" s="61">
        <v>312</v>
      </c>
      <c r="G87" s="96">
        <v>79</v>
      </c>
      <c r="H87" s="96"/>
      <c r="I87" s="61" t="s">
        <v>76</v>
      </c>
      <c r="J87" s="96">
        <v>13</v>
      </c>
      <c r="K87" s="96">
        <v>4</v>
      </c>
      <c r="L87" s="96">
        <v>17</v>
      </c>
      <c r="M87" s="96">
        <v>6</v>
      </c>
      <c r="N87" s="96"/>
      <c r="O87" s="96">
        <v>4</v>
      </c>
      <c r="P87" s="96">
        <v>2</v>
      </c>
      <c r="Q87" s="96"/>
      <c r="R87" s="96">
        <v>1</v>
      </c>
      <c r="S87" s="96"/>
    </row>
    <row r="88" spans="1:19" x14ac:dyDescent="0.3">
      <c r="C88" s="61" t="s">
        <v>77</v>
      </c>
      <c r="D88" s="96">
        <v>80</v>
      </c>
      <c r="E88" s="61">
        <v>244</v>
      </c>
      <c r="F88" s="61">
        <v>324</v>
      </c>
      <c r="G88" s="96">
        <v>263</v>
      </c>
      <c r="H88" s="96"/>
      <c r="I88" s="61" t="s">
        <v>77</v>
      </c>
      <c r="J88" s="96">
        <v>6</v>
      </c>
      <c r="K88" s="96">
        <v>8</v>
      </c>
      <c r="L88" s="96">
        <v>14</v>
      </c>
      <c r="M88" s="96">
        <v>0</v>
      </c>
      <c r="N88" s="96"/>
      <c r="O88" s="96">
        <v>4</v>
      </c>
      <c r="P88" s="96">
        <v>1</v>
      </c>
      <c r="Q88" s="96"/>
      <c r="R88" s="96"/>
      <c r="S88" s="96">
        <v>1</v>
      </c>
    </row>
    <row r="89" spans="1:19" x14ac:dyDescent="0.3">
      <c r="C89" s="61" t="s">
        <v>78</v>
      </c>
      <c r="D89" s="96">
        <v>85</v>
      </c>
      <c r="E89" s="61">
        <v>245</v>
      </c>
      <c r="F89" s="61">
        <v>330</v>
      </c>
      <c r="G89" s="96">
        <v>229</v>
      </c>
      <c r="H89" s="96"/>
      <c r="I89" s="61" t="s">
        <v>78</v>
      </c>
      <c r="J89" s="96">
        <v>61</v>
      </c>
      <c r="K89" s="96">
        <v>12</v>
      </c>
      <c r="L89" s="96">
        <v>73</v>
      </c>
      <c r="M89" s="96">
        <v>1</v>
      </c>
      <c r="N89" s="96"/>
      <c r="O89" s="96">
        <v>7</v>
      </c>
      <c r="P89" s="96">
        <v>52</v>
      </c>
      <c r="Q89" s="96">
        <v>1</v>
      </c>
      <c r="R89" s="96">
        <v>0</v>
      </c>
      <c r="S89" s="96">
        <v>1</v>
      </c>
    </row>
    <row r="90" spans="1:19" x14ac:dyDescent="0.3">
      <c r="C90" s="61" t="s">
        <v>79</v>
      </c>
      <c r="D90" s="96">
        <v>7</v>
      </c>
      <c r="E90" s="61">
        <v>239</v>
      </c>
      <c r="F90" s="61">
        <v>246</v>
      </c>
      <c r="G90" s="96">
        <v>191</v>
      </c>
      <c r="H90" s="96"/>
      <c r="I90" s="61" t="s">
        <v>79</v>
      </c>
      <c r="J90" s="96">
        <v>8</v>
      </c>
      <c r="K90" s="96">
        <v>3</v>
      </c>
      <c r="L90" s="96">
        <v>11</v>
      </c>
      <c r="M90" s="96">
        <v>0</v>
      </c>
      <c r="N90" s="96"/>
      <c r="O90" s="96">
        <v>4</v>
      </c>
      <c r="P90" s="96">
        <v>2</v>
      </c>
      <c r="Q90" s="96">
        <v>0</v>
      </c>
      <c r="R90" s="96">
        <v>2</v>
      </c>
      <c r="S90" s="96">
        <v>0</v>
      </c>
    </row>
    <row r="91" spans="1:19" x14ac:dyDescent="0.3">
      <c r="C91" s="61" t="s">
        <v>80</v>
      </c>
      <c r="D91" s="96">
        <v>34</v>
      </c>
      <c r="E91" s="61">
        <v>100</v>
      </c>
      <c r="F91" s="61">
        <v>134</v>
      </c>
      <c r="G91" s="96">
        <v>168</v>
      </c>
      <c r="H91" s="96"/>
      <c r="I91" s="61" t="s">
        <v>80</v>
      </c>
      <c r="J91" s="96">
        <v>59</v>
      </c>
      <c r="K91" s="96">
        <v>52</v>
      </c>
      <c r="L91" s="96">
        <v>111</v>
      </c>
      <c r="M91" s="96">
        <v>4</v>
      </c>
      <c r="N91" s="96"/>
      <c r="O91" s="96">
        <v>10</v>
      </c>
      <c r="P91" s="96">
        <v>42</v>
      </c>
      <c r="Q91" s="96"/>
      <c r="R91" s="96">
        <v>2</v>
      </c>
      <c r="S91" s="96">
        <v>1</v>
      </c>
    </row>
    <row r="92" spans="1:19" x14ac:dyDescent="0.3">
      <c r="A92" s="114">
        <v>2023</v>
      </c>
      <c r="B92" s="115"/>
      <c r="C92" s="61" t="s">
        <v>210</v>
      </c>
      <c r="D92" s="96">
        <v>77</v>
      </c>
      <c r="E92" s="61">
        <v>168</v>
      </c>
      <c r="F92" s="61">
        <v>245</v>
      </c>
      <c r="G92" s="96">
        <v>128</v>
      </c>
      <c r="H92" s="96"/>
      <c r="I92" s="61" t="s">
        <v>210</v>
      </c>
      <c r="J92" s="96">
        <v>12</v>
      </c>
      <c r="K92" s="96">
        <v>2</v>
      </c>
      <c r="L92" s="96">
        <v>14</v>
      </c>
      <c r="M92" s="96">
        <v>4</v>
      </c>
      <c r="N92" s="96"/>
      <c r="O92" s="96">
        <v>1</v>
      </c>
      <c r="P92" s="96">
        <v>6</v>
      </c>
      <c r="Q92" s="96">
        <v>1</v>
      </c>
      <c r="R92" s="96"/>
      <c r="S92" s="96">
        <v>1</v>
      </c>
    </row>
    <row r="93" spans="1:19" x14ac:dyDescent="0.3">
      <c r="C93" s="61" t="s">
        <v>211</v>
      </c>
      <c r="D93" s="96">
        <v>87</v>
      </c>
      <c r="E93" s="61">
        <v>128</v>
      </c>
      <c r="F93" s="61">
        <v>211</v>
      </c>
      <c r="G93" s="96">
        <v>129</v>
      </c>
      <c r="H93" s="96"/>
      <c r="I93" s="61" t="s">
        <v>211</v>
      </c>
      <c r="J93" s="96">
        <v>21</v>
      </c>
      <c r="K93" s="96">
        <v>11</v>
      </c>
      <c r="L93" s="96">
        <v>32</v>
      </c>
      <c r="M93" s="96">
        <v>8</v>
      </c>
      <c r="N93" s="96"/>
      <c r="O93" s="96">
        <v>5</v>
      </c>
      <c r="P93" s="96">
        <v>6</v>
      </c>
      <c r="Q93" s="96"/>
      <c r="R93" s="96">
        <v>1</v>
      </c>
      <c r="S93" s="96">
        <v>1</v>
      </c>
    </row>
    <row r="94" spans="1:19" x14ac:dyDescent="0.3">
      <c r="C94" s="61" t="s">
        <v>212</v>
      </c>
      <c r="D94" s="96">
        <v>119</v>
      </c>
      <c r="E94" s="61">
        <v>143</v>
      </c>
      <c r="F94" s="61">
        <v>262</v>
      </c>
      <c r="G94" s="96">
        <v>135</v>
      </c>
      <c r="H94" s="96"/>
      <c r="I94" s="61" t="s">
        <v>212</v>
      </c>
      <c r="J94" s="96">
        <v>60</v>
      </c>
      <c r="K94" s="96">
        <v>9</v>
      </c>
      <c r="L94" s="96">
        <v>69</v>
      </c>
      <c r="M94" s="96">
        <v>6</v>
      </c>
      <c r="N94" s="96"/>
      <c r="O94" s="96">
        <v>3</v>
      </c>
      <c r="P94" s="96">
        <v>49</v>
      </c>
      <c r="Q94" s="96"/>
      <c r="R94" s="96">
        <v>1</v>
      </c>
      <c r="S94" s="96">
        <v>1</v>
      </c>
    </row>
    <row r="95" spans="1:19" x14ac:dyDescent="0.3">
      <c r="C95" s="61" t="s">
        <v>213</v>
      </c>
      <c r="D95" s="96">
        <v>58</v>
      </c>
      <c r="E95" s="61">
        <v>332</v>
      </c>
      <c r="F95" s="61">
        <v>390</v>
      </c>
      <c r="G95" s="96">
        <v>266</v>
      </c>
      <c r="H95" s="96"/>
      <c r="I95" s="61" t="s">
        <v>213</v>
      </c>
      <c r="J95" s="96">
        <v>14</v>
      </c>
      <c r="K95" s="96">
        <v>1</v>
      </c>
      <c r="L95" s="96">
        <v>15</v>
      </c>
      <c r="M95" s="96">
        <v>3</v>
      </c>
      <c r="N95" s="96"/>
      <c r="O95" s="96">
        <v>3</v>
      </c>
      <c r="P95" s="96">
        <v>5</v>
      </c>
      <c r="Q95" s="96"/>
      <c r="R95" s="96"/>
      <c r="S95" s="96">
        <v>3</v>
      </c>
    </row>
    <row r="96" spans="1:19" x14ac:dyDescent="0.3">
      <c r="C96" s="61" t="s">
        <v>214</v>
      </c>
      <c r="D96" s="96">
        <v>105</v>
      </c>
      <c r="E96" s="61">
        <v>341</v>
      </c>
      <c r="F96" s="61">
        <v>446</v>
      </c>
      <c r="G96" s="96">
        <v>264</v>
      </c>
      <c r="H96" s="96"/>
      <c r="I96" s="61" t="s">
        <v>214</v>
      </c>
      <c r="J96" s="96">
        <v>30</v>
      </c>
      <c r="K96" s="96">
        <v>3</v>
      </c>
      <c r="L96" s="96">
        <v>35</v>
      </c>
      <c r="M96" s="96">
        <v>9</v>
      </c>
      <c r="N96" s="96"/>
      <c r="O96" s="96">
        <v>9</v>
      </c>
      <c r="P96" s="96">
        <v>10</v>
      </c>
      <c r="Q96" s="96"/>
      <c r="R96" s="96">
        <v>1</v>
      </c>
      <c r="S96" s="96">
        <v>1</v>
      </c>
    </row>
    <row r="97" spans="3:19" x14ac:dyDescent="0.3">
      <c r="C97" s="61" t="s">
        <v>216</v>
      </c>
      <c r="D97" s="96">
        <v>100</v>
      </c>
      <c r="E97" s="61">
        <v>314</v>
      </c>
      <c r="F97" s="61">
        <v>414</v>
      </c>
      <c r="G97" s="96">
        <v>212</v>
      </c>
      <c r="H97" s="96"/>
      <c r="I97" s="61" t="s">
        <v>216</v>
      </c>
      <c r="J97" s="96">
        <v>20</v>
      </c>
      <c r="K97" s="96">
        <v>2</v>
      </c>
      <c r="L97" s="96">
        <v>22</v>
      </c>
      <c r="M97" s="96">
        <v>5</v>
      </c>
      <c r="N97" s="96"/>
      <c r="O97" s="96">
        <v>8</v>
      </c>
      <c r="P97" s="96">
        <v>6</v>
      </c>
      <c r="Q97" s="96">
        <v>1</v>
      </c>
      <c r="R97" s="96"/>
      <c r="S97" s="96">
        <v>1</v>
      </c>
    </row>
    <row r="98" spans="3:19" x14ac:dyDescent="0.3">
      <c r="C98" s="61" t="s">
        <v>217</v>
      </c>
      <c r="D98" s="96">
        <v>184</v>
      </c>
      <c r="E98" s="61">
        <v>138</v>
      </c>
      <c r="F98" s="61">
        <v>322</v>
      </c>
      <c r="G98" s="96">
        <v>271</v>
      </c>
      <c r="H98" s="96"/>
      <c r="I98" s="61" t="s">
        <v>217</v>
      </c>
      <c r="J98" s="96">
        <v>54</v>
      </c>
      <c r="K98" s="96">
        <v>25</v>
      </c>
      <c r="L98" s="96">
        <v>79</v>
      </c>
      <c r="M98" s="96">
        <v>3</v>
      </c>
      <c r="N98" s="96"/>
      <c r="O98" s="96">
        <v>11</v>
      </c>
      <c r="P98" s="96">
        <v>39</v>
      </c>
      <c r="Q98" s="96"/>
      <c r="R98" s="96">
        <v>1</v>
      </c>
      <c r="S98" s="96"/>
    </row>
    <row r="99" spans="3:19" x14ac:dyDescent="0.3">
      <c r="C99" s="61" t="s">
        <v>218</v>
      </c>
      <c r="D99" s="96">
        <v>57</v>
      </c>
      <c r="E99" s="61">
        <v>113</v>
      </c>
      <c r="F99" s="61">
        <v>170</v>
      </c>
      <c r="G99" s="96">
        <v>111</v>
      </c>
      <c r="H99" s="96"/>
      <c r="I99" s="61" t="s">
        <v>218</v>
      </c>
      <c r="J99" s="96">
        <v>17</v>
      </c>
      <c r="K99" s="96">
        <v>12</v>
      </c>
      <c r="L99" s="96">
        <v>29</v>
      </c>
      <c r="M99" s="96">
        <v>3</v>
      </c>
      <c r="N99" s="96"/>
      <c r="O99" s="96">
        <v>3</v>
      </c>
      <c r="P99" s="96">
        <v>9</v>
      </c>
      <c r="Q99" s="96"/>
      <c r="R99" s="96">
        <v>1</v>
      </c>
      <c r="S99" s="96">
        <v>1</v>
      </c>
    </row>
    <row r="100" spans="3:19" x14ac:dyDescent="0.3">
      <c r="C100" s="61" t="s">
        <v>220</v>
      </c>
      <c r="D100" s="96">
        <v>225</v>
      </c>
      <c r="E100" s="61">
        <v>141</v>
      </c>
      <c r="F100" s="61">
        <v>366</v>
      </c>
      <c r="G100" s="96">
        <v>113</v>
      </c>
      <c r="H100" s="96"/>
      <c r="I100" s="61" t="s">
        <v>220</v>
      </c>
      <c r="J100" s="96">
        <v>10</v>
      </c>
      <c r="K100" s="96">
        <v>12</v>
      </c>
      <c r="L100" s="96">
        <v>22</v>
      </c>
      <c r="M100" s="96">
        <v>1</v>
      </c>
      <c r="N100" s="96"/>
      <c r="O100" s="96">
        <v>6</v>
      </c>
      <c r="P100" s="96">
        <v>3</v>
      </c>
      <c r="Q100" s="96"/>
      <c r="R100" s="96"/>
      <c r="S100" s="96"/>
    </row>
    <row r="101" spans="3:19" x14ac:dyDescent="0.3">
      <c r="C101" s="61" t="s">
        <v>90</v>
      </c>
      <c r="D101" s="96">
        <v>79</v>
      </c>
      <c r="E101" s="61">
        <v>84</v>
      </c>
      <c r="F101" s="61">
        <v>163</v>
      </c>
      <c r="G101" s="96">
        <v>139</v>
      </c>
      <c r="H101" s="96"/>
      <c r="I101" s="61" t="s">
        <v>90</v>
      </c>
      <c r="J101" s="96">
        <v>15</v>
      </c>
      <c r="K101" s="96">
        <v>9</v>
      </c>
      <c r="L101" s="96">
        <v>24</v>
      </c>
      <c r="M101" s="96">
        <v>0</v>
      </c>
      <c r="N101" s="96"/>
      <c r="O101" s="96">
        <v>7</v>
      </c>
      <c r="P101" s="96">
        <v>8</v>
      </c>
      <c r="Q101" s="96"/>
      <c r="R101" s="96"/>
      <c r="S101" s="96"/>
    </row>
    <row r="102" spans="3:19" x14ac:dyDescent="0.3">
      <c r="C102" s="61" t="s">
        <v>91</v>
      </c>
      <c r="D102" s="96">
        <v>29</v>
      </c>
      <c r="E102" s="61">
        <v>135</v>
      </c>
      <c r="F102" s="61">
        <v>164</v>
      </c>
      <c r="G102" s="96">
        <v>150</v>
      </c>
      <c r="H102" s="96"/>
      <c r="I102" s="61" t="s">
        <v>91</v>
      </c>
      <c r="J102" s="96">
        <v>57</v>
      </c>
      <c r="K102" s="96">
        <v>15</v>
      </c>
      <c r="L102" s="96">
        <v>72</v>
      </c>
      <c r="M102" s="96">
        <v>9</v>
      </c>
      <c r="N102" s="96"/>
      <c r="O102" s="96"/>
      <c r="P102" s="96">
        <v>46</v>
      </c>
      <c r="Q102" s="96"/>
      <c r="R102" s="96">
        <v>1</v>
      </c>
      <c r="S102" s="96">
        <v>1</v>
      </c>
    </row>
    <row r="103" spans="3:19" x14ac:dyDescent="0.3">
      <c r="C103" s="61" t="s">
        <v>92</v>
      </c>
      <c r="D103" s="96">
        <v>50</v>
      </c>
      <c r="E103" s="61">
        <v>219</v>
      </c>
      <c r="F103" s="61">
        <v>269</v>
      </c>
      <c r="G103" s="96">
        <v>164</v>
      </c>
      <c r="H103" s="96"/>
      <c r="I103" s="61" t="s">
        <v>92</v>
      </c>
      <c r="J103" s="96">
        <v>28</v>
      </c>
      <c r="K103" s="96">
        <v>14</v>
      </c>
      <c r="L103" s="96">
        <v>42</v>
      </c>
      <c r="M103" s="96">
        <v>14</v>
      </c>
      <c r="N103" s="96"/>
      <c r="O103" s="96">
        <v>9</v>
      </c>
      <c r="P103" s="96">
        <v>5</v>
      </c>
      <c r="Q103" s="96"/>
      <c r="R103" s="96"/>
      <c r="S103" s="96"/>
    </row>
    <row r="104" spans="3:19" x14ac:dyDescent="0.3">
      <c r="C104" s="61" t="s">
        <v>93</v>
      </c>
      <c r="D104" s="96">
        <v>59</v>
      </c>
      <c r="E104" s="61">
        <v>66</v>
      </c>
      <c r="F104" s="61">
        <v>125</v>
      </c>
      <c r="G104" s="96">
        <v>78</v>
      </c>
      <c r="H104" s="96"/>
      <c r="I104" s="61" t="s">
        <v>93</v>
      </c>
      <c r="J104" s="96">
        <v>38</v>
      </c>
      <c r="K104" s="96">
        <v>6</v>
      </c>
      <c r="L104" s="96">
        <v>44</v>
      </c>
      <c r="M104" s="96">
        <v>25</v>
      </c>
      <c r="N104" s="96"/>
      <c r="O104" s="96">
        <v>4</v>
      </c>
      <c r="P104" s="96">
        <v>8</v>
      </c>
      <c r="Q104" s="96"/>
      <c r="R104" s="96"/>
      <c r="S104" s="96">
        <v>1</v>
      </c>
    </row>
    <row r="105" spans="3:19" x14ac:dyDescent="0.3">
      <c r="C105" s="61" t="s">
        <v>94</v>
      </c>
      <c r="D105" s="96">
        <v>53</v>
      </c>
      <c r="E105" s="61">
        <v>186</v>
      </c>
      <c r="F105" s="61">
        <v>239</v>
      </c>
      <c r="G105" s="96">
        <v>81</v>
      </c>
      <c r="H105" s="96"/>
      <c r="I105" s="61" t="s">
        <v>94</v>
      </c>
      <c r="J105" s="96">
        <v>16</v>
      </c>
      <c r="K105" s="96">
        <v>4</v>
      </c>
      <c r="L105" s="96">
        <v>20</v>
      </c>
      <c r="M105" s="96">
        <v>5</v>
      </c>
      <c r="N105" s="96"/>
      <c r="O105" s="96">
        <v>8</v>
      </c>
      <c r="P105" s="96"/>
      <c r="Q105" s="96"/>
      <c r="R105" s="96">
        <v>1</v>
      </c>
      <c r="S105" s="96">
        <v>1</v>
      </c>
    </row>
    <row r="106" spans="3:19" x14ac:dyDescent="0.3">
      <c r="C106" s="61" t="s">
        <v>95</v>
      </c>
      <c r="D106" s="96">
        <v>44</v>
      </c>
      <c r="E106" s="61">
        <v>165</v>
      </c>
      <c r="F106" s="61">
        <v>209</v>
      </c>
      <c r="G106" s="96">
        <v>64</v>
      </c>
      <c r="H106" s="96"/>
      <c r="I106" s="61" t="s">
        <v>95</v>
      </c>
      <c r="J106" s="96">
        <v>64</v>
      </c>
      <c r="K106" s="96">
        <v>15</v>
      </c>
      <c r="L106" s="96">
        <v>79</v>
      </c>
      <c r="M106" s="96">
        <v>10</v>
      </c>
      <c r="N106" s="96"/>
      <c r="O106" s="96">
        <v>45</v>
      </c>
      <c r="P106" s="96">
        <v>3</v>
      </c>
      <c r="Q106" s="96"/>
      <c r="R106" s="96"/>
      <c r="S106" s="96">
        <v>6</v>
      </c>
    </row>
    <row r="107" spans="3:19" x14ac:dyDescent="0.3">
      <c r="C107" s="61" t="s">
        <v>96</v>
      </c>
      <c r="D107" s="96">
        <v>42</v>
      </c>
      <c r="E107" s="61">
        <v>186</v>
      </c>
      <c r="F107" s="61">
        <v>228</v>
      </c>
      <c r="G107" s="96">
        <v>46</v>
      </c>
      <c r="H107" s="96"/>
      <c r="I107" s="61" t="s">
        <v>96</v>
      </c>
      <c r="J107" s="96">
        <v>16</v>
      </c>
      <c r="K107" s="96">
        <v>13</v>
      </c>
      <c r="L107" s="96">
        <v>29</v>
      </c>
      <c r="M107" s="96">
        <v>2</v>
      </c>
      <c r="N107" s="96"/>
      <c r="O107" s="96">
        <v>6</v>
      </c>
      <c r="P107" s="96">
        <v>4</v>
      </c>
      <c r="Q107" s="96"/>
      <c r="R107" s="96">
        <v>1</v>
      </c>
      <c r="S107" s="96">
        <v>3</v>
      </c>
    </row>
    <row r="108" spans="3:19" x14ac:dyDescent="0.3">
      <c r="C108" s="61" t="s">
        <v>97</v>
      </c>
      <c r="D108" s="96">
        <v>42</v>
      </c>
      <c r="E108" s="61">
        <v>101</v>
      </c>
      <c r="F108" s="61">
        <v>143</v>
      </c>
      <c r="G108" s="96">
        <v>248</v>
      </c>
      <c r="H108" s="96"/>
      <c r="I108" s="61" t="s">
        <v>97</v>
      </c>
      <c r="J108" s="96">
        <v>21</v>
      </c>
      <c r="K108" s="96">
        <v>8</v>
      </c>
      <c r="L108" s="96">
        <v>29</v>
      </c>
      <c r="M108" s="96">
        <v>4</v>
      </c>
      <c r="N108" s="96"/>
      <c r="O108" s="96">
        <v>10</v>
      </c>
      <c r="P108" s="96">
        <v>7</v>
      </c>
      <c r="Q108" s="96"/>
      <c r="R108" s="96"/>
      <c r="S108" s="96"/>
    </row>
    <row r="109" spans="3:19" x14ac:dyDescent="0.3">
      <c r="C109" s="61" t="s">
        <v>46</v>
      </c>
      <c r="D109" s="96">
        <v>128</v>
      </c>
      <c r="E109" s="61">
        <v>128</v>
      </c>
      <c r="F109" s="61">
        <v>256</v>
      </c>
      <c r="G109" s="96">
        <v>76</v>
      </c>
      <c r="H109" s="96"/>
      <c r="I109" s="61" t="s">
        <v>46</v>
      </c>
      <c r="J109" s="96">
        <v>14</v>
      </c>
      <c r="K109" s="96">
        <v>3</v>
      </c>
      <c r="L109" s="96">
        <v>17</v>
      </c>
      <c r="M109" s="96">
        <v>3</v>
      </c>
      <c r="N109" s="96"/>
      <c r="O109" s="96">
        <v>7</v>
      </c>
      <c r="P109" s="96">
        <v>3</v>
      </c>
      <c r="Q109" s="96"/>
      <c r="R109" s="96">
        <v>1</v>
      </c>
      <c r="S109" s="96"/>
    </row>
    <row r="110" spans="3:19" x14ac:dyDescent="0.3">
      <c r="C110" s="61" t="s">
        <v>47</v>
      </c>
      <c r="D110" s="96">
        <v>35</v>
      </c>
      <c r="E110" s="61">
        <v>210</v>
      </c>
      <c r="F110" s="61">
        <v>245</v>
      </c>
      <c r="G110" s="96">
        <v>60</v>
      </c>
      <c r="H110" s="96"/>
      <c r="I110" s="61" t="s">
        <v>47</v>
      </c>
      <c r="J110" s="96">
        <v>24</v>
      </c>
      <c r="K110" s="96">
        <v>14</v>
      </c>
      <c r="L110" s="96">
        <v>38</v>
      </c>
      <c r="M110" s="96">
        <v>8</v>
      </c>
      <c r="N110" s="96"/>
      <c r="O110" s="96">
        <v>6</v>
      </c>
      <c r="P110" s="96">
        <v>5</v>
      </c>
      <c r="Q110" s="96"/>
      <c r="R110" s="96"/>
      <c r="S110" s="96">
        <v>5</v>
      </c>
    </row>
    <row r="111" spans="3:19" x14ac:dyDescent="0.3">
      <c r="C111" s="61" t="s">
        <v>48</v>
      </c>
      <c r="D111" s="96">
        <v>39</v>
      </c>
      <c r="E111" s="61">
        <v>161</v>
      </c>
      <c r="F111" s="61">
        <v>200</v>
      </c>
      <c r="G111" s="96">
        <v>46</v>
      </c>
      <c r="H111" s="96"/>
      <c r="I111" s="61" t="s">
        <v>48</v>
      </c>
      <c r="J111" s="96">
        <v>28</v>
      </c>
      <c r="K111" s="96">
        <v>11</v>
      </c>
      <c r="L111" s="96">
        <v>39</v>
      </c>
      <c r="M111" s="96">
        <v>5</v>
      </c>
      <c r="N111" s="96"/>
      <c r="O111" s="96">
        <v>9</v>
      </c>
      <c r="P111" s="96">
        <v>9</v>
      </c>
      <c r="Q111" s="96"/>
      <c r="R111" s="96">
        <v>2</v>
      </c>
      <c r="S111" s="96">
        <v>3</v>
      </c>
    </row>
    <row r="112" spans="3:19" x14ac:dyDescent="0.3">
      <c r="C112" s="61" t="s">
        <v>49</v>
      </c>
      <c r="D112" s="96">
        <v>36</v>
      </c>
      <c r="E112" s="61">
        <v>223</v>
      </c>
      <c r="F112" s="61">
        <v>259</v>
      </c>
      <c r="G112" s="96">
        <v>154</v>
      </c>
      <c r="H112" s="96"/>
      <c r="I112" s="61" t="s">
        <v>49</v>
      </c>
      <c r="J112" s="96">
        <v>34</v>
      </c>
      <c r="K112" s="96">
        <v>11</v>
      </c>
      <c r="L112" s="96">
        <v>45</v>
      </c>
      <c r="M112" s="96">
        <v>3</v>
      </c>
      <c r="N112" s="96"/>
      <c r="O112" s="96">
        <v>14</v>
      </c>
      <c r="P112" s="96">
        <v>8</v>
      </c>
      <c r="Q112" s="96"/>
      <c r="R112" s="96">
        <v>1</v>
      </c>
      <c r="S112" s="96">
        <v>8</v>
      </c>
    </row>
    <row r="113" spans="3:19" x14ac:dyDescent="0.3">
      <c r="C113" s="61" t="s">
        <v>50</v>
      </c>
      <c r="D113" s="96">
        <v>5</v>
      </c>
      <c r="E113" s="61">
        <v>148</v>
      </c>
      <c r="F113" s="61">
        <v>153</v>
      </c>
      <c r="G113" s="96">
        <v>66</v>
      </c>
      <c r="H113" s="96"/>
      <c r="I113" s="61" t="s">
        <v>50</v>
      </c>
      <c r="J113" s="96">
        <v>16</v>
      </c>
      <c r="K113" s="96">
        <v>23</v>
      </c>
      <c r="L113" s="96">
        <v>39</v>
      </c>
      <c r="M113" s="96">
        <v>7</v>
      </c>
      <c r="N113" s="96"/>
      <c r="O113" s="96">
        <v>6</v>
      </c>
      <c r="P113" s="96">
        <v>2</v>
      </c>
      <c r="Q113" s="96"/>
      <c r="R113" s="96"/>
      <c r="S113" s="96">
        <v>1</v>
      </c>
    </row>
    <row r="114" spans="3:19" x14ac:dyDescent="0.3">
      <c r="C114" s="61" t="s">
        <v>51</v>
      </c>
      <c r="D114" s="96">
        <v>14</v>
      </c>
      <c r="E114" s="61">
        <v>260</v>
      </c>
      <c r="F114" s="61">
        <v>274</v>
      </c>
      <c r="G114" s="96">
        <v>165</v>
      </c>
      <c r="H114" s="96"/>
      <c r="I114" s="61" t="s">
        <v>51</v>
      </c>
      <c r="J114" s="96">
        <v>13</v>
      </c>
      <c r="K114" s="96">
        <v>11</v>
      </c>
      <c r="L114" s="96">
        <v>24</v>
      </c>
      <c r="M114" s="96">
        <v>5</v>
      </c>
      <c r="N114" s="96"/>
      <c r="O114" s="96">
        <v>4</v>
      </c>
      <c r="P114" s="96">
        <v>3</v>
      </c>
      <c r="Q114" s="96"/>
      <c r="R114" s="96">
        <v>1</v>
      </c>
      <c r="S114" s="96"/>
    </row>
    <row r="115" spans="3:19" x14ac:dyDescent="0.3">
      <c r="C115" s="61" t="s">
        <v>52</v>
      </c>
      <c r="D115" s="96">
        <v>9</v>
      </c>
      <c r="E115" s="61">
        <v>156</v>
      </c>
      <c r="F115" s="61">
        <v>165</v>
      </c>
      <c r="G115" s="96">
        <v>78</v>
      </c>
      <c r="H115" s="96"/>
      <c r="I115" s="61" t="s">
        <v>52</v>
      </c>
      <c r="J115" s="96">
        <v>48</v>
      </c>
      <c r="K115" s="96">
        <v>29</v>
      </c>
      <c r="L115" s="96">
        <v>77</v>
      </c>
      <c r="M115" s="96">
        <v>10</v>
      </c>
      <c r="N115" s="96"/>
      <c r="O115" s="96">
        <v>27</v>
      </c>
      <c r="P115" s="96">
        <v>5</v>
      </c>
      <c r="Q115" s="96"/>
      <c r="R115" s="96">
        <v>2</v>
      </c>
      <c r="S115" s="96">
        <v>4</v>
      </c>
    </row>
    <row r="116" spans="3:19" x14ac:dyDescent="0.3">
      <c r="C116" s="61" t="s">
        <v>53</v>
      </c>
      <c r="D116" s="96">
        <v>47</v>
      </c>
      <c r="E116" s="61">
        <v>158</v>
      </c>
      <c r="F116" s="61">
        <v>205</v>
      </c>
      <c r="G116" s="96">
        <v>63</v>
      </c>
      <c r="H116" s="96"/>
      <c r="I116" s="61" t="s">
        <v>53</v>
      </c>
      <c r="J116" s="96">
        <v>26</v>
      </c>
      <c r="K116" s="96">
        <v>15</v>
      </c>
      <c r="L116" s="96">
        <v>41</v>
      </c>
      <c r="M116" s="96">
        <v>8</v>
      </c>
      <c r="N116" s="96"/>
      <c r="O116" s="96">
        <v>3</v>
      </c>
      <c r="P116" s="96">
        <v>11</v>
      </c>
      <c r="Q116" s="96"/>
      <c r="R116" s="96">
        <v>3</v>
      </c>
      <c r="S116" s="96">
        <v>1</v>
      </c>
    </row>
    <row r="117" spans="3:19" x14ac:dyDescent="0.3">
      <c r="C117" s="61" t="s">
        <v>54</v>
      </c>
      <c r="D117" s="96">
        <v>11</v>
      </c>
      <c r="E117" s="61">
        <v>123</v>
      </c>
      <c r="F117" s="61">
        <v>134</v>
      </c>
      <c r="G117" s="96">
        <v>91</v>
      </c>
      <c r="H117" s="96"/>
      <c r="I117" s="61" t="s">
        <v>54</v>
      </c>
      <c r="J117" s="96">
        <v>12</v>
      </c>
      <c r="K117" s="96">
        <v>15</v>
      </c>
      <c r="L117" s="96">
        <v>27</v>
      </c>
      <c r="M117" s="96">
        <v>3</v>
      </c>
      <c r="N117" s="96"/>
      <c r="O117" s="96">
        <v>4</v>
      </c>
      <c r="P117" s="96">
        <v>5</v>
      </c>
      <c r="Q117" s="96"/>
      <c r="R117" s="96"/>
      <c r="S117" s="96"/>
    </row>
    <row r="118" spans="3:19" x14ac:dyDescent="0.3">
      <c r="C118" s="61" t="s">
        <v>55</v>
      </c>
      <c r="D118" s="96">
        <v>36</v>
      </c>
      <c r="E118" s="61">
        <v>120</v>
      </c>
      <c r="F118" s="61">
        <v>156</v>
      </c>
      <c r="G118" s="96">
        <v>34</v>
      </c>
      <c r="H118" s="96"/>
      <c r="I118" s="61" t="s">
        <v>55</v>
      </c>
      <c r="J118" s="96">
        <v>30</v>
      </c>
      <c r="K118" s="96">
        <v>11</v>
      </c>
      <c r="L118" s="96">
        <v>41</v>
      </c>
      <c r="M118" s="96">
        <v>8</v>
      </c>
      <c r="N118" s="96"/>
      <c r="O118" s="96">
        <v>8</v>
      </c>
      <c r="P118" s="96">
        <v>11</v>
      </c>
      <c r="Q118" s="96"/>
      <c r="R118" s="96">
        <v>3</v>
      </c>
      <c r="S118" s="96"/>
    </row>
    <row r="119" spans="3:19" x14ac:dyDescent="0.3">
      <c r="C119" s="61" t="s">
        <v>56</v>
      </c>
      <c r="D119" s="96">
        <v>94</v>
      </c>
      <c r="E119" s="61">
        <v>172</v>
      </c>
      <c r="F119" s="61">
        <v>266</v>
      </c>
      <c r="G119" s="96">
        <v>62</v>
      </c>
      <c r="H119" s="96"/>
      <c r="I119" s="61" t="s">
        <v>56</v>
      </c>
      <c r="J119" s="96">
        <v>55</v>
      </c>
      <c r="K119" s="96">
        <v>17</v>
      </c>
      <c r="L119" s="96">
        <v>72</v>
      </c>
      <c r="M119" s="96">
        <v>7</v>
      </c>
      <c r="N119" s="96"/>
      <c r="O119" s="96">
        <v>37</v>
      </c>
      <c r="P119" s="96">
        <v>8</v>
      </c>
      <c r="Q119" s="96"/>
      <c r="R119" s="96">
        <v>2</v>
      </c>
      <c r="S119" s="96">
        <v>1</v>
      </c>
    </row>
    <row r="120" spans="3:19" x14ac:dyDescent="0.3">
      <c r="C120" s="61" t="s">
        <v>57</v>
      </c>
      <c r="D120" s="96">
        <v>45</v>
      </c>
      <c r="E120" s="61">
        <v>352</v>
      </c>
      <c r="F120" s="61">
        <v>397</v>
      </c>
      <c r="G120" s="96">
        <v>203</v>
      </c>
      <c r="H120" s="96"/>
      <c r="I120" s="61" t="s">
        <v>57</v>
      </c>
      <c r="J120" s="96">
        <v>17</v>
      </c>
      <c r="K120" s="96">
        <v>10</v>
      </c>
      <c r="L120" s="96">
        <v>27</v>
      </c>
      <c r="M120" s="96">
        <v>3</v>
      </c>
      <c r="N120" s="96"/>
      <c r="O120" s="96">
        <v>8</v>
      </c>
      <c r="P120" s="96">
        <v>2</v>
      </c>
      <c r="Q120" s="96"/>
      <c r="R120" s="96">
        <v>4</v>
      </c>
      <c r="S120" s="96"/>
    </row>
    <row r="121" spans="3:19" x14ac:dyDescent="0.3">
      <c r="C121" s="61" t="s">
        <v>58</v>
      </c>
      <c r="D121" s="96">
        <v>10</v>
      </c>
      <c r="E121" s="61">
        <v>146</v>
      </c>
      <c r="F121" s="61">
        <v>156</v>
      </c>
      <c r="G121" s="96">
        <v>97</v>
      </c>
      <c r="H121" s="96"/>
      <c r="I121" s="61" t="s">
        <v>58</v>
      </c>
      <c r="J121" s="96">
        <v>32</v>
      </c>
      <c r="K121" s="96">
        <v>15</v>
      </c>
      <c r="L121" s="96">
        <v>47</v>
      </c>
      <c r="M121" s="96">
        <v>11</v>
      </c>
      <c r="N121" s="96"/>
      <c r="O121" s="96">
        <v>4</v>
      </c>
      <c r="P121" s="96">
        <v>15</v>
      </c>
      <c r="Q121" s="96"/>
      <c r="R121" s="96">
        <v>2</v>
      </c>
      <c r="S121" s="96"/>
    </row>
    <row r="122" spans="3:19" x14ac:dyDescent="0.3">
      <c r="C122" s="61" t="s">
        <v>59</v>
      </c>
      <c r="D122" s="96">
        <v>12</v>
      </c>
      <c r="E122" s="61">
        <v>579</v>
      </c>
      <c r="F122" s="61">
        <v>591</v>
      </c>
      <c r="G122" s="96">
        <v>493</v>
      </c>
      <c r="H122" s="96"/>
      <c r="I122" s="61" t="s">
        <v>59</v>
      </c>
      <c r="J122" s="96">
        <v>32</v>
      </c>
      <c r="K122" s="96">
        <v>18</v>
      </c>
      <c r="L122" s="96">
        <v>50</v>
      </c>
      <c r="M122" s="96">
        <v>7</v>
      </c>
      <c r="N122" s="96"/>
      <c r="O122" s="96">
        <v>13</v>
      </c>
      <c r="P122" s="96">
        <v>9</v>
      </c>
      <c r="Q122" s="96"/>
      <c r="R122" s="96">
        <v>3</v>
      </c>
      <c r="S122" s="96"/>
    </row>
    <row r="123" spans="3:19" x14ac:dyDescent="0.3">
      <c r="C123" s="61" t="s">
        <v>60</v>
      </c>
      <c r="D123" s="96">
        <v>10</v>
      </c>
      <c r="E123" s="61">
        <v>141</v>
      </c>
      <c r="F123" s="61">
        <v>151</v>
      </c>
      <c r="G123" s="96">
        <v>28</v>
      </c>
      <c r="H123" s="96"/>
      <c r="I123" s="61" t="s">
        <v>60</v>
      </c>
      <c r="J123" s="96">
        <v>31</v>
      </c>
      <c r="K123" s="96">
        <v>12</v>
      </c>
      <c r="L123" s="96">
        <v>43</v>
      </c>
      <c r="M123" s="96">
        <v>11</v>
      </c>
      <c r="N123" s="96"/>
      <c r="O123" s="96">
        <v>8</v>
      </c>
      <c r="P123" s="96">
        <v>7</v>
      </c>
      <c r="Q123" s="96"/>
      <c r="R123" s="96">
        <v>1</v>
      </c>
      <c r="S123" s="96">
        <v>4</v>
      </c>
    </row>
    <row r="124" spans="3:19" x14ac:dyDescent="0.3">
      <c r="C124" s="61" t="s">
        <v>61</v>
      </c>
      <c r="D124" s="96">
        <v>29</v>
      </c>
      <c r="E124" s="61">
        <v>213</v>
      </c>
      <c r="F124" s="61">
        <v>242</v>
      </c>
      <c r="G124" s="96">
        <v>30</v>
      </c>
      <c r="H124" s="96"/>
      <c r="I124" s="61" t="s">
        <v>61</v>
      </c>
      <c r="J124" s="96">
        <v>65</v>
      </c>
      <c r="K124" s="96">
        <v>11</v>
      </c>
      <c r="L124" s="96">
        <v>76</v>
      </c>
      <c r="M124" s="96">
        <v>7</v>
      </c>
      <c r="N124" s="96"/>
      <c r="O124" s="96">
        <v>45</v>
      </c>
      <c r="P124" s="96">
        <v>10</v>
      </c>
      <c r="Q124" s="96"/>
      <c r="R124" s="96">
        <v>2</v>
      </c>
      <c r="S124" s="96">
        <v>1</v>
      </c>
    </row>
    <row r="125" spans="3:19" x14ac:dyDescent="0.3">
      <c r="C125" s="61" t="s">
        <v>62</v>
      </c>
      <c r="D125" s="96">
        <v>22</v>
      </c>
      <c r="E125" s="61">
        <v>182</v>
      </c>
      <c r="F125" s="61">
        <v>204</v>
      </c>
      <c r="G125" s="96">
        <v>31</v>
      </c>
      <c r="H125" s="96"/>
      <c r="I125" s="61" t="s">
        <v>62</v>
      </c>
      <c r="J125" s="96">
        <v>24</v>
      </c>
      <c r="K125" s="96">
        <v>25</v>
      </c>
      <c r="L125" s="96">
        <v>49</v>
      </c>
      <c r="M125" s="96">
        <v>5</v>
      </c>
      <c r="N125" s="96"/>
      <c r="O125" s="96">
        <v>4</v>
      </c>
      <c r="P125" s="96">
        <v>10</v>
      </c>
      <c r="Q125" s="96"/>
      <c r="R125" s="96">
        <v>2</v>
      </c>
      <c r="S125" s="96">
        <v>3</v>
      </c>
    </row>
    <row r="126" spans="3:19" x14ac:dyDescent="0.3">
      <c r="C126" s="61" t="s">
        <v>63</v>
      </c>
      <c r="D126" s="96">
        <v>8</v>
      </c>
      <c r="E126" s="61">
        <v>196</v>
      </c>
      <c r="F126" s="61">
        <v>204</v>
      </c>
      <c r="G126" s="96">
        <v>132</v>
      </c>
      <c r="H126" s="96"/>
      <c r="I126" s="61" t="s">
        <v>63</v>
      </c>
      <c r="J126" s="96">
        <v>27</v>
      </c>
      <c r="K126" s="96">
        <v>13</v>
      </c>
      <c r="L126" s="96">
        <v>40</v>
      </c>
      <c r="M126" s="96">
        <v>8</v>
      </c>
      <c r="N126" s="96"/>
      <c r="O126" s="96">
        <v>7</v>
      </c>
      <c r="P126" s="96">
        <v>9</v>
      </c>
      <c r="Q126" s="96"/>
      <c r="R126" s="96">
        <v>3</v>
      </c>
      <c r="S126" s="96"/>
    </row>
    <row r="127" spans="3:19" x14ac:dyDescent="0.3">
      <c r="C127" s="61" t="s">
        <v>64</v>
      </c>
      <c r="D127" s="96">
        <v>7</v>
      </c>
      <c r="E127" s="61">
        <v>125</v>
      </c>
      <c r="F127" s="61">
        <v>132</v>
      </c>
      <c r="G127" s="96">
        <v>61</v>
      </c>
      <c r="H127" s="96"/>
      <c r="I127" s="61" t="s">
        <v>64</v>
      </c>
      <c r="J127" s="96">
        <v>25</v>
      </c>
      <c r="K127" s="96">
        <v>13</v>
      </c>
      <c r="L127" s="96">
        <v>38</v>
      </c>
      <c r="M127" s="96">
        <v>14</v>
      </c>
      <c r="N127" s="96"/>
      <c r="O127" s="96">
        <v>3</v>
      </c>
      <c r="P127" s="96">
        <v>5</v>
      </c>
      <c r="Q127" s="96"/>
      <c r="R127" s="96">
        <v>3</v>
      </c>
      <c r="S127" s="96"/>
    </row>
    <row r="128" spans="3:19" x14ac:dyDescent="0.3">
      <c r="C128" s="61" t="s">
        <v>65</v>
      </c>
      <c r="D128" s="96">
        <v>21</v>
      </c>
      <c r="E128" s="61">
        <v>246</v>
      </c>
      <c r="F128" s="61">
        <v>267</v>
      </c>
      <c r="G128" s="96">
        <v>44</v>
      </c>
      <c r="H128" s="96"/>
      <c r="I128" s="61" t="s">
        <v>65</v>
      </c>
      <c r="J128" s="96">
        <v>24</v>
      </c>
      <c r="K128" s="96">
        <v>35</v>
      </c>
      <c r="L128" s="96">
        <v>59</v>
      </c>
      <c r="M128" s="96">
        <v>10</v>
      </c>
      <c r="N128" s="96"/>
      <c r="O128" s="96">
        <v>4</v>
      </c>
      <c r="P128" s="96">
        <v>6</v>
      </c>
      <c r="Q128" s="96"/>
      <c r="R128" s="96"/>
      <c r="S128" s="96">
        <v>4</v>
      </c>
    </row>
    <row r="129" spans="2:19" x14ac:dyDescent="0.3">
      <c r="C129" s="61" t="s">
        <v>66</v>
      </c>
      <c r="D129" s="96">
        <v>19</v>
      </c>
      <c r="E129" s="61">
        <v>5507</v>
      </c>
      <c r="F129" s="61">
        <v>5526</v>
      </c>
      <c r="G129" s="96">
        <v>5400</v>
      </c>
      <c r="H129" s="96"/>
      <c r="I129" s="61" t="s">
        <v>66</v>
      </c>
      <c r="J129" s="96">
        <v>19</v>
      </c>
      <c r="K129" s="96">
        <v>17</v>
      </c>
      <c r="L129" s="96">
        <v>36</v>
      </c>
      <c r="M129" s="96">
        <v>7</v>
      </c>
      <c r="N129" s="96"/>
      <c r="O129" s="96">
        <v>6</v>
      </c>
      <c r="P129" s="96">
        <v>3</v>
      </c>
      <c r="Q129" s="96"/>
      <c r="R129" s="96">
        <v>3</v>
      </c>
      <c r="S129" s="96"/>
    </row>
    <row r="130" spans="2:19" x14ac:dyDescent="0.3">
      <c r="C130" s="61" t="s">
        <v>67</v>
      </c>
      <c r="D130" s="96">
        <v>24</v>
      </c>
      <c r="E130" s="61">
        <v>164</v>
      </c>
      <c r="F130" s="61">
        <v>188</v>
      </c>
      <c r="G130" s="96">
        <v>117</v>
      </c>
      <c r="H130" s="96"/>
      <c r="I130" s="61" t="s">
        <v>67</v>
      </c>
      <c r="J130" s="96">
        <v>20</v>
      </c>
      <c r="K130" s="96">
        <v>14</v>
      </c>
      <c r="L130" s="96">
        <v>34</v>
      </c>
      <c r="M130" s="96">
        <v>7</v>
      </c>
      <c r="N130" s="96"/>
      <c r="O130" s="96">
        <v>4</v>
      </c>
      <c r="P130" s="96">
        <v>7</v>
      </c>
      <c r="Q130" s="96"/>
      <c r="R130" s="96">
        <v>2</v>
      </c>
      <c r="S130" s="96"/>
    </row>
    <row r="131" spans="2:19" x14ac:dyDescent="0.3">
      <c r="C131" s="61" t="s">
        <v>68</v>
      </c>
      <c r="D131" s="96">
        <v>21</v>
      </c>
      <c r="E131" s="61">
        <v>183</v>
      </c>
      <c r="F131" s="61">
        <v>204</v>
      </c>
      <c r="G131" s="96">
        <v>83</v>
      </c>
      <c r="H131" s="96"/>
      <c r="I131" s="61" t="s">
        <v>68</v>
      </c>
      <c r="J131" s="96">
        <v>20</v>
      </c>
      <c r="K131" s="96">
        <v>14</v>
      </c>
      <c r="L131" s="96">
        <v>34</v>
      </c>
      <c r="M131" s="96">
        <v>7</v>
      </c>
      <c r="N131" s="96"/>
      <c r="O131" s="96">
        <v>4</v>
      </c>
      <c r="P131" s="96">
        <v>7</v>
      </c>
      <c r="Q131" s="96"/>
      <c r="R131" s="96">
        <v>2</v>
      </c>
      <c r="S131" s="96"/>
    </row>
    <row r="132" spans="2:19" x14ac:dyDescent="0.3">
      <c r="C132" s="61" t="s">
        <v>69</v>
      </c>
      <c r="D132" s="96">
        <v>43</v>
      </c>
      <c r="E132" s="61">
        <v>232</v>
      </c>
      <c r="F132" s="61">
        <v>275</v>
      </c>
      <c r="G132" s="96">
        <v>98</v>
      </c>
      <c r="H132" s="96"/>
      <c r="I132" s="61" t="s">
        <v>69</v>
      </c>
      <c r="J132" s="96">
        <v>26</v>
      </c>
      <c r="K132" s="96">
        <v>19</v>
      </c>
      <c r="L132" s="96">
        <v>45</v>
      </c>
      <c r="M132" s="96">
        <v>10</v>
      </c>
      <c r="N132" s="96"/>
      <c r="O132" s="96">
        <v>9</v>
      </c>
      <c r="P132" s="96">
        <v>4</v>
      </c>
      <c r="Q132" s="96"/>
      <c r="R132" s="96">
        <v>2</v>
      </c>
      <c r="S132" s="96">
        <v>1</v>
      </c>
    </row>
    <row r="133" spans="2:19" x14ac:dyDescent="0.3">
      <c r="C133" s="61" t="s">
        <v>70</v>
      </c>
      <c r="D133" s="96">
        <v>19</v>
      </c>
      <c r="E133" s="61">
        <v>253</v>
      </c>
      <c r="F133" s="61">
        <v>272</v>
      </c>
      <c r="G133" s="96">
        <v>154</v>
      </c>
      <c r="H133" s="96"/>
      <c r="I133" s="61" t="s">
        <v>70</v>
      </c>
      <c r="J133" s="96">
        <v>20</v>
      </c>
      <c r="K133" s="96">
        <v>33</v>
      </c>
      <c r="L133" s="96">
        <v>53</v>
      </c>
      <c r="M133" s="96">
        <v>4</v>
      </c>
      <c r="N133" s="96"/>
      <c r="O133" s="96">
        <v>4</v>
      </c>
      <c r="P133" s="96">
        <v>4</v>
      </c>
      <c r="Q133" s="96"/>
      <c r="R133" s="96">
        <v>4</v>
      </c>
      <c r="S133" s="96">
        <v>4</v>
      </c>
    </row>
    <row r="134" spans="2:19" x14ac:dyDescent="0.3">
      <c r="C134" s="61" t="s">
        <v>71</v>
      </c>
      <c r="D134" s="96">
        <v>61</v>
      </c>
      <c r="E134" s="61">
        <v>2790</v>
      </c>
      <c r="F134" s="61">
        <v>2851</v>
      </c>
      <c r="G134" s="96">
        <v>2718</v>
      </c>
      <c r="H134" s="96"/>
      <c r="I134" s="61" t="s">
        <v>71</v>
      </c>
      <c r="J134" s="96">
        <v>16</v>
      </c>
      <c r="K134" s="96">
        <v>24</v>
      </c>
      <c r="L134" s="96">
        <v>40</v>
      </c>
      <c r="M134" s="96">
        <v>4</v>
      </c>
      <c r="N134" s="96"/>
      <c r="O134" s="96">
        <v>3</v>
      </c>
      <c r="P134" s="96">
        <v>6</v>
      </c>
      <c r="Q134" s="96"/>
      <c r="R134" s="96">
        <v>2</v>
      </c>
      <c r="S134" s="96">
        <v>1</v>
      </c>
    </row>
    <row r="135" spans="2:19" x14ac:dyDescent="0.3">
      <c r="C135" s="61" t="s">
        <v>72</v>
      </c>
      <c r="D135" s="96">
        <v>3</v>
      </c>
      <c r="E135" s="61">
        <v>196</v>
      </c>
      <c r="F135" s="61">
        <v>199</v>
      </c>
      <c r="G135" s="96">
        <v>147</v>
      </c>
      <c r="H135" s="96"/>
      <c r="I135" s="61" t="s">
        <v>72</v>
      </c>
      <c r="J135" s="96">
        <v>11</v>
      </c>
      <c r="K135" s="96">
        <v>29</v>
      </c>
      <c r="L135" s="96">
        <v>40</v>
      </c>
      <c r="M135" s="96">
        <v>6</v>
      </c>
      <c r="N135" s="96"/>
      <c r="O135" s="96">
        <v>2</v>
      </c>
      <c r="P135" s="96">
        <v>2</v>
      </c>
      <c r="Q135" s="96"/>
      <c r="R135" s="96">
        <v>1</v>
      </c>
      <c r="S135" s="96"/>
    </row>
    <row r="136" spans="2:19" x14ac:dyDescent="0.3">
      <c r="C136" s="61" t="s">
        <v>73</v>
      </c>
      <c r="D136" s="96">
        <v>75</v>
      </c>
      <c r="E136" s="61">
        <v>193</v>
      </c>
      <c r="F136" s="61">
        <v>268</v>
      </c>
      <c r="G136" s="96">
        <v>116</v>
      </c>
      <c r="H136" s="96"/>
      <c r="I136" s="61" t="s">
        <v>73</v>
      </c>
      <c r="J136" s="96">
        <v>36</v>
      </c>
      <c r="K136" s="96">
        <v>21</v>
      </c>
      <c r="L136" s="96">
        <v>57</v>
      </c>
      <c r="M136" s="96">
        <v>17</v>
      </c>
      <c r="N136" s="96"/>
      <c r="O136" s="96">
        <v>4</v>
      </c>
      <c r="P136" s="96">
        <v>7</v>
      </c>
      <c r="Q136" s="96"/>
      <c r="R136" s="96">
        <v>1</v>
      </c>
      <c r="S136" s="96">
        <v>7</v>
      </c>
    </row>
    <row r="137" spans="2:19" x14ac:dyDescent="0.3">
      <c r="C137" s="61" t="s">
        <v>74</v>
      </c>
      <c r="D137" s="96">
        <v>57</v>
      </c>
      <c r="E137" s="61">
        <v>157</v>
      </c>
      <c r="F137" s="61">
        <v>214</v>
      </c>
      <c r="G137" s="96">
        <v>132</v>
      </c>
      <c r="H137" s="96"/>
      <c r="I137" s="61" t="s">
        <v>74</v>
      </c>
      <c r="J137" s="96">
        <v>47</v>
      </c>
      <c r="K137" s="96">
        <v>41</v>
      </c>
      <c r="L137" s="96">
        <v>88</v>
      </c>
      <c r="M137" s="96">
        <v>5</v>
      </c>
      <c r="N137" s="96"/>
      <c r="O137" s="96">
        <v>29</v>
      </c>
      <c r="P137" s="96">
        <v>6</v>
      </c>
      <c r="Q137" s="96"/>
      <c r="R137" s="96">
        <v>1</v>
      </c>
      <c r="S137" s="96">
        <v>6</v>
      </c>
    </row>
    <row r="138" spans="2:19" x14ac:dyDescent="0.3">
      <c r="C138" s="61" t="s">
        <v>75</v>
      </c>
      <c r="D138" s="96">
        <v>17</v>
      </c>
      <c r="E138" s="61">
        <v>206</v>
      </c>
      <c r="F138" s="61">
        <v>223</v>
      </c>
      <c r="G138" s="96">
        <v>79</v>
      </c>
      <c r="H138" s="96"/>
      <c r="I138" s="61" t="s">
        <v>75</v>
      </c>
      <c r="J138" s="96">
        <v>9</v>
      </c>
      <c r="K138" s="96">
        <v>22</v>
      </c>
      <c r="L138" s="96">
        <v>31</v>
      </c>
      <c r="M138" s="96">
        <v>2</v>
      </c>
      <c r="N138" s="96"/>
      <c r="O138" s="96">
        <v>3</v>
      </c>
      <c r="P138" s="96">
        <v>2</v>
      </c>
      <c r="Q138" s="96"/>
      <c r="R138" s="96">
        <v>2</v>
      </c>
      <c r="S138" s="96"/>
    </row>
    <row r="139" spans="2:19" x14ac:dyDescent="0.3">
      <c r="C139" s="61" t="s">
        <v>76</v>
      </c>
      <c r="D139" s="96">
        <v>55</v>
      </c>
      <c r="E139" s="61">
        <v>135</v>
      </c>
      <c r="F139" s="61">
        <v>190</v>
      </c>
      <c r="G139" s="96">
        <v>87</v>
      </c>
      <c r="H139" s="96"/>
      <c r="I139" s="61" t="s">
        <v>76</v>
      </c>
      <c r="J139" s="96">
        <v>15</v>
      </c>
      <c r="K139" s="96">
        <v>21</v>
      </c>
      <c r="L139" s="96">
        <v>36</v>
      </c>
      <c r="M139" s="96">
        <v>2</v>
      </c>
      <c r="N139" s="96"/>
      <c r="O139" s="96">
        <v>5</v>
      </c>
      <c r="P139" s="96">
        <v>4</v>
      </c>
      <c r="Q139" s="96"/>
      <c r="R139" s="96">
        <v>3</v>
      </c>
      <c r="S139" s="96">
        <v>1</v>
      </c>
    </row>
    <row r="140" spans="2:19" x14ac:dyDescent="0.3">
      <c r="C140" s="61" t="s">
        <v>77</v>
      </c>
      <c r="D140" s="96">
        <v>126</v>
      </c>
      <c r="E140" s="61">
        <v>107</v>
      </c>
      <c r="F140" s="61">
        <v>233</v>
      </c>
      <c r="G140" s="96">
        <v>93</v>
      </c>
      <c r="H140" s="96"/>
      <c r="I140" s="61" t="s">
        <v>77</v>
      </c>
      <c r="J140" s="96">
        <v>12</v>
      </c>
      <c r="K140" s="96">
        <v>20</v>
      </c>
      <c r="L140" s="96">
        <v>32</v>
      </c>
      <c r="M140" s="96">
        <v>1</v>
      </c>
      <c r="N140" s="96"/>
      <c r="O140" s="96">
        <v>4</v>
      </c>
      <c r="P140" s="96">
        <v>3</v>
      </c>
      <c r="Q140" s="96"/>
      <c r="R140" s="96">
        <v>1</v>
      </c>
      <c r="S140" s="96">
        <v>3</v>
      </c>
    </row>
    <row r="141" spans="2:19" x14ac:dyDescent="0.3">
      <c r="C141" s="61" t="s">
        <v>78</v>
      </c>
      <c r="D141" s="96">
        <v>91</v>
      </c>
      <c r="E141" s="61">
        <v>285</v>
      </c>
      <c r="F141" s="61">
        <v>376</v>
      </c>
      <c r="G141" s="96">
        <v>241</v>
      </c>
      <c r="H141" s="96"/>
      <c r="I141" s="61" t="s">
        <v>78</v>
      </c>
      <c r="J141" s="96">
        <v>68</v>
      </c>
      <c r="K141" s="96">
        <v>26</v>
      </c>
      <c r="L141" s="96">
        <v>94</v>
      </c>
      <c r="M141" s="96">
        <v>1</v>
      </c>
      <c r="N141" s="96"/>
      <c r="O141" s="96">
        <v>39</v>
      </c>
      <c r="P141" s="96">
        <v>12</v>
      </c>
      <c r="Q141" s="96"/>
      <c r="R141" s="96">
        <v>2</v>
      </c>
      <c r="S141" s="96">
        <v>14</v>
      </c>
    </row>
    <row r="142" spans="2:19" x14ac:dyDescent="0.3">
      <c r="C142" s="61" t="s">
        <v>79</v>
      </c>
      <c r="D142" s="96">
        <v>30</v>
      </c>
      <c r="E142" s="61">
        <v>317</v>
      </c>
      <c r="F142" s="61">
        <v>347</v>
      </c>
      <c r="G142" s="96">
        <v>107</v>
      </c>
      <c r="H142" s="96"/>
      <c r="I142" s="61" t="s">
        <v>79</v>
      </c>
      <c r="J142" s="96">
        <v>10</v>
      </c>
      <c r="K142" s="96">
        <v>22</v>
      </c>
      <c r="L142" s="96">
        <v>32</v>
      </c>
      <c r="M142" s="96">
        <v>1</v>
      </c>
      <c r="N142" s="96"/>
      <c r="O142" s="96">
        <v>4</v>
      </c>
      <c r="P142" s="96">
        <v>1</v>
      </c>
      <c r="Q142" s="96"/>
      <c r="R142" s="96">
        <v>3</v>
      </c>
      <c r="S142" s="96">
        <v>1</v>
      </c>
    </row>
    <row r="143" spans="2:19" x14ac:dyDescent="0.3">
      <c r="C143" s="61" t="s">
        <v>80</v>
      </c>
      <c r="D143" s="96">
        <v>25</v>
      </c>
      <c r="E143" s="61">
        <v>173</v>
      </c>
      <c r="F143" s="61">
        <v>198</v>
      </c>
      <c r="G143" s="96">
        <v>68</v>
      </c>
      <c r="H143" s="96"/>
      <c r="I143" s="61" t="s">
        <v>80</v>
      </c>
      <c r="J143" s="96">
        <v>5</v>
      </c>
      <c r="K143" s="96">
        <v>3</v>
      </c>
      <c r="L143" s="96">
        <v>8</v>
      </c>
      <c r="M143" s="96"/>
      <c r="N143" s="96"/>
      <c r="O143" s="96">
        <v>2</v>
      </c>
      <c r="P143" s="96">
        <v>1</v>
      </c>
      <c r="Q143" s="96"/>
      <c r="R143" s="96">
        <v>2</v>
      </c>
      <c r="S143" s="96"/>
    </row>
    <row r="144" spans="2:19" x14ac:dyDescent="0.3">
      <c r="B144" s="92">
        <v>2024</v>
      </c>
      <c r="C144" s="61" t="s">
        <v>210</v>
      </c>
      <c r="D144" s="96">
        <v>34</v>
      </c>
      <c r="E144" s="61">
        <v>105</v>
      </c>
      <c r="F144" s="61">
        <v>139</v>
      </c>
      <c r="G144" s="96">
        <v>57</v>
      </c>
      <c r="H144" s="96"/>
      <c r="I144" s="61" t="s">
        <v>210</v>
      </c>
      <c r="J144" s="96">
        <v>16</v>
      </c>
      <c r="K144" s="96">
        <v>8</v>
      </c>
      <c r="L144" s="96">
        <v>24</v>
      </c>
      <c r="M144" s="96">
        <v>4</v>
      </c>
      <c r="N144" s="96"/>
      <c r="O144" s="96">
        <v>1</v>
      </c>
      <c r="P144" s="96">
        <v>8</v>
      </c>
      <c r="Q144" s="96"/>
      <c r="R144" s="96">
        <v>2</v>
      </c>
      <c r="S144" s="96"/>
    </row>
    <row r="145" spans="2:19" x14ac:dyDescent="0.3">
      <c r="B145" s="109"/>
      <c r="C145" s="61" t="s">
        <v>211</v>
      </c>
      <c r="D145" s="96">
        <v>19</v>
      </c>
      <c r="E145" s="61">
        <v>392</v>
      </c>
      <c r="F145" s="61">
        <v>411</v>
      </c>
      <c r="G145" s="96">
        <v>177</v>
      </c>
      <c r="H145" s="96"/>
      <c r="I145" s="61" t="s">
        <v>211</v>
      </c>
      <c r="J145" s="96">
        <v>28</v>
      </c>
      <c r="K145" s="96">
        <v>31</v>
      </c>
      <c r="L145" s="96">
        <v>59</v>
      </c>
      <c r="M145" s="96">
        <v>11</v>
      </c>
      <c r="N145" s="96"/>
      <c r="O145" s="96">
        <v>9</v>
      </c>
      <c r="P145" s="96">
        <v>3</v>
      </c>
      <c r="Q145" s="96"/>
      <c r="R145" s="96">
        <v>1</v>
      </c>
      <c r="S145" s="96">
        <v>3</v>
      </c>
    </row>
    <row r="146" spans="2:19" x14ac:dyDescent="0.3">
      <c r="B146" s="109"/>
      <c r="C146" s="61" t="s">
        <v>212</v>
      </c>
      <c r="D146" s="96">
        <v>36</v>
      </c>
      <c r="E146" s="61">
        <v>353</v>
      </c>
      <c r="F146" s="61">
        <v>389</v>
      </c>
      <c r="G146" s="96">
        <v>183</v>
      </c>
      <c r="H146" s="96"/>
      <c r="I146" s="61" t="s">
        <v>212</v>
      </c>
      <c r="J146" s="96">
        <v>28</v>
      </c>
      <c r="K146" s="96">
        <v>12</v>
      </c>
      <c r="L146" s="96">
        <v>40</v>
      </c>
      <c r="M146" s="96">
        <v>11</v>
      </c>
      <c r="N146" s="96"/>
      <c r="O146" s="96">
        <v>6</v>
      </c>
      <c r="P146" s="96">
        <v>9</v>
      </c>
      <c r="Q146" s="96"/>
      <c r="R146" s="96">
        <v>2</v>
      </c>
      <c r="S146" s="96"/>
    </row>
    <row r="147" spans="2:19" x14ac:dyDescent="0.3">
      <c r="B147" s="109"/>
      <c r="C147" s="61" t="s">
        <v>213</v>
      </c>
      <c r="D147" s="96">
        <v>119</v>
      </c>
      <c r="E147" s="61">
        <v>571</v>
      </c>
      <c r="F147" s="61">
        <v>571</v>
      </c>
      <c r="G147" s="96">
        <v>180</v>
      </c>
      <c r="H147" s="96"/>
      <c r="I147" s="61" t="s">
        <v>213</v>
      </c>
      <c r="J147" s="96">
        <v>34</v>
      </c>
      <c r="K147" s="96">
        <v>25</v>
      </c>
      <c r="L147" s="96">
        <v>59</v>
      </c>
      <c r="M147" s="96">
        <v>11</v>
      </c>
      <c r="N147" s="96"/>
      <c r="O147" s="96">
        <v>6</v>
      </c>
      <c r="P147" s="96">
        <v>12</v>
      </c>
      <c r="Q147" s="96"/>
      <c r="R147" s="96"/>
      <c r="S147" s="96"/>
    </row>
    <row r="148" spans="2:19" x14ac:dyDescent="0.3">
      <c r="B148" s="109"/>
      <c r="C148" s="61" t="s">
        <v>214</v>
      </c>
      <c r="D148" s="96">
        <v>60</v>
      </c>
      <c r="E148" s="61">
        <v>849</v>
      </c>
      <c r="F148" s="61">
        <v>909</v>
      </c>
      <c r="G148" s="96">
        <v>228</v>
      </c>
      <c r="H148" s="96"/>
      <c r="I148" s="61" t="s">
        <v>214</v>
      </c>
      <c r="J148" s="96">
        <v>53</v>
      </c>
      <c r="K148" s="96">
        <v>14</v>
      </c>
      <c r="L148" s="96">
        <v>67</v>
      </c>
      <c r="M148" s="96">
        <v>21</v>
      </c>
      <c r="N148" s="96"/>
      <c r="O148" s="96">
        <v>11</v>
      </c>
      <c r="P148" s="96">
        <v>20</v>
      </c>
      <c r="Q148" s="96"/>
      <c r="R148" s="96">
        <v>1</v>
      </c>
      <c r="S148" s="96"/>
    </row>
    <row r="149" spans="2:19" x14ac:dyDescent="0.3">
      <c r="B149" s="109"/>
      <c r="C149" s="61" t="s">
        <v>216</v>
      </c>
      <c r="D149" s="96">
        <v>65</v>
      </c>
      <c r="E149" s="61">
        <v>1150</v>
      </c>
      <c r="F149" s="61">
        <v>1215</v>
      </c>
      <c r="G149" s="96">
        <v>262</v>
      </c>
      <c r="H149" s="96"/>
      <c r="I149" s="61" t="s">
        <v>216</v>
      </c>
      <c r="J149" s="96">
        <v>34</v>
      </c>
      <c r="K149" s="96">
        <v>29</v>
      </c>
      <c r="L149" s="96">
        <v>63</v>
      </c>
      <c r="M149" s="96">
        <v>12</v>
      </c>
      <c r="N149" s="96"/>
      <c r="O149" s="96">
        <v>10</v>
      </c>
      <c r="P149" s="96">
        <v>8</v>
      </c>
      <c r="Q149" s="96"/>
      <c r="R149" s="96">
        <v>2</v>
      </c>
      <c r="S149" s="96"/>
    </row>
    <row r="150" spans="2:19" x14ac:dyDescent="0.3">
      <c r="B150" s="109"/>
      <c r="C150" s="61" t="s">
        <v>217</v>
      </c>
      <c r="D150" s="96">
        <v>59</v>
      </c>
      <c r="E150" s="61">
        <v>1038</v>
      </c>
      <c r="F150" s="61">
        <v>1097</v>
      </c>
      <c r="G150" s="96">
        <v>313</v>
      </c>
      <c r="H150" s="96"/>
      <c r="I150" s="61" t="s">
        <v>217</v>
      </c>
      <c r="J150" s="96">
        <v>83</v>
      </c>
      <c r="K150" s="96">
        <v>24</v>
      </c>
      <c r="L150" s="96">
        <v>107</v>
      </c>
      <c r="M150" s="96">
        <v>15</v>
      </c>
      <c r="N150" s="96"/>
      <c r="O150" s="96">
        <v>43</v>
      </c>
      <c r="P150" s="96">
        <v>13</v>
      </c>
      <c r="Q150" s="96"/>
      <c r="R150" s="96">
        <v>3</v>
      </c>
      <c r="S150" s="96">
        <v>9</v>
      </c>
    </row>
    <row r="151" spans="2:19" x14ac:dyDescent="0.3">
      <c r="B151" s="109"/>
      <c r="C151" s="61" t="s">
        <v>218</v>
      </c>
      <c r="D151" s="96">
        <v>70</v>
      </c>
      <c r="E151" s="61">
        <v>1170</v>
      </c>
      <c r="F151" s="61">
        <v>1240</v>
      </c>
      <c r="G151" s="96">
        <v>195</v>
      </c>
      <c r="H151" s="96"/>
      <c r="I151" s="61" t="s">
        <v>218</v>
      </c>
      <c r="J151" s="96">
        <v>41</v>
      </c>
      <c r="K151" s="96">
        <v>32</v>
      </c>
      <c r="L151" s="96">
        <v>73</v>
      </c>
      <c r="M151" s="96">
        <v>9</v>
      </c>
      <c r="N151" s="96"/>
      <c r="O151" s="96">
        <v>8</v>
      </c>
      <c r="P151" s="96">
        <v>16</v>
      </c>
      <c r="Q151" s="96"/>
      <c r="R151" s="96">
        <v>5</v>
      </c>
      <c r="S151" s="96">
        <v>3</v>
      </c>
    </row>
    <row r="152" spans="2:19" x14ac:dyDescent="0.3">
      <c r="B152" s="109"/>
      <c r="C152" s="61" t="s">
        <v>220</v>
      </c>
      <c r="D152" s="96">
        <v>82</v>
      </c>
      <c r="E152" s="61">
        <v>474</v>
      </c>
      <c r="F152" s="61">
        <v>556</v>
      </c>
      <c r="G152" s="96">
        <v>147</v>
      </c>
      <c r="H152" s="96"/>
      <c r="I152" s="61" t="s">
        <v>220</v>
      </c>
      <c r="J152" s="96">
        <v>32</v>
      </c>
      <c r="K152" s="96">
        <v>23</v>
      </c>
      <c r="L152" s="96">
        <v>55</v>
      </c>
      <c r="M152" s="96">
        <v>9</v>
      </c>
      <c r="N152" s="96"/>
      <c r="O152" s="96">
        <v>7</v>
      </c>
      <c r="P152" s="96">
        <v>13</v>
      </c>
      <c r="Q152" s="96"/>
      <c r="R152" s="96">
        <v>3</v>
      </c>
      <c r="S152" s="96"/>
    </row>
    <row r="153" spans="2:19" x14ac:dyDescent="0.3">
      <c r="C153" s="61" t="s">
        <v>90</v>
      </c>
      <c r="D153" s="96">
        <v>61</v>
      </c>
      <c r="E153" s="61">
        <v>840</v>
      </c>
      <c r="F153" s="61">
        <v>901</v>
      </c>
      <c r="G153" s="96">
        <v>157</v>
      </c>
      <c r="H153" s="96"/>
      <c r="I153" s="61" t="s">
        <v>90</v>
      </c>
      <c r="J153" s="96">
        <v>32</v>
      </c>
      <c r="K153" s="96">
        <v>34</v>
      </c>
      <c r="L153" s="96">
        <v>66</v>
      </c>
      <c r="M153" s="96">
        <v>15</v>
      </c>
      <c r="N153" s="96"/>
      <c r="O153" s="96">
        <v>11</v>
      </c>
      <c r="P153" s="96">
        <v>4</v>
      </c>
      <c r="Q153" s="96"/>
      <c r="R153" s="96">
        <v>1</v>
      </c>
      <c r="S153" s="96">
        <v>1</v>
      </c>
    </row>
    <row r="154" spans="2:19" x14ac:dyDescent="0.3">
      <c r="C154" s="61" t="s">
        <v>91</v>
      </c>
      <c r="D154" s="96">
        <v>139</v>
      </c>
      <c r="E154" s="61">
        <v>926</v>
      </c>
      <c r="F154" s="61">
        <v>1065</v>
      </c>
      <c r="G154" s="96">
        <v>361</v>
      </c>
      <c r="H154" s="96"/>
      <c r="I154" s="61" t="s">
        <v>91</v>
      </c>
      <c r="J154" s="96">
        <v>58</v>
      </c>
      <c r="K154" s="96">
        <v>30</v>
      </c>
      <c r="L154" s="96">
        <v>88</v>
      </c>
      <c r="M154" s="96">
        <v>8</v>
      </c>
      <c r="N154" s="96"/>
      <c r="O154" s="96">
        <v>34</v>
      </c>
      <c r="P154" s="96">
        <v>5</v>
      </c>
      <c r="Q154" s="96"/>
      <c r="R154" s="96">
        <v>1</v>
      </c>
      <c r="S154" s="96">
        <v>9</v>
      </c>
    </row>
    <row r="155" spans="2:19" x14ac:dyDescent="0.3">
      <c r="C155" s="61" t="s">
        <v>92</v>
      </c>
      <c r="D155" s="96">
        <v>42</v>
      </c>
      <c r="E155" s="61">
        <v>729</v>
      </c>
      <c r="F155" s="61">
        <v>771</v>
      </c>
      <c r="G155" s="96">
        <v>180</v>
      </c>
      <c r="H155" s="96"/>
      <c r="I155" s="61" t="s">
        <v>92</v>
      </c>
      <c r="J155" s="96">
        <v>23</v>
      </c>
      <c r="K155" s="96">
        <v>24</v>
      </c>
      <c r="L155" s="96">
        <v>47</v>
      </c>
      <c r="M155" s="96">
        <v>11</v>
      </c>
      <c r="N155" s="96"/>
      <c r="O155" s="96">
        <v>4</v>
      </c>
      <c r="P155" s="96">
        <v>6</v>
      </c>
      <c r="Q155" s="96"/>
      <c r="R155" s="96">
        <v>2</v>
      </c>
      <c r="S155" s="96"/>
    </row>
    <row r="156" spans="2:19" x14ac:dyDescent="0.3">
      <c r="C156" s="61" t="s">
        <v>93</v>
      </c>
      <c r="D156" s="96">
        <v>33</v>
      </c>
      <c r="E156" s="61">
        <v>510</v>
      </c>
      <c r="F156" s="61">
        <v>543</v>
      </c>
      <c r="G156" s="96">
        <v>218</v>
      </c>
      <c r="H156" s="96"/>
      <c r="I156" s="61" t="s">
        <v>93</v>
      </c>
      <c r="J156" s="96">
        <v>23</v>
      </c>
      <c r="K156" s="96">
        <v>25</v>
      </c>
      <c r="L156" s="96">
        <v>48</v>
      </c>
      <c r="M156" s="96">
        <v>8</v>
      </c>
      <c r="N156" s="96"/>
      <c r="O156" s="96">
        <v>8</v>
      </c>
      <c r="P156" s="96">
        <v>4</v>
      </c>
      <c r="Q156" s="96"/>
      <c r="R156" s="96">
        <v>2</v>
      </c>
      <c r="S156" s="96">
        <v>1</v>
      </c>
    </row>
    <row r="157" spans="2:19" x14ac:dyDescent="0.3">
      <c r="C157" s="61" t="s">
        <v>94</v>
      </c>
      <c r="D157" s="96">
        <v>108</v>
      </c>
      <c r="E157" s="61">
        <v>495</v>
      </c>
      <c r="F157" s="61">
        <v>603</v>
      </c>
      <c r="G157" s="96">
        <v>351</v>
      </c>
      <c r="H157" s="96"/>
      <c r="I157" s="61" t="s">
        <v>94</v>
      </c>
      <c r="J157" s="96">
        <v>27</v>
      </c>
      <c r="K157" s="96">
        <v>16</v>
      </c>
      <c r="L157" s="96">
        <v>43</v>
      </c>
      <c r="M157" s="96">
        <v>3</v>
      </c>
      <c r="N157" s="96"/>
      <c r="O157" s="96">
        <v>3</v>
      </c>
      <c r="P157" s="96">
        <v>14</v>
      </c>
      <c r="Q157" s="96"/>
      <c r="R157" s="96">
        <v>6</v>
      </c>
      <c r="S157" s="96">
        <v>1</v>
      </c>
    </row>
    <row r="158" spans="2:19" x14ac:dyDescent="0.3">
      <c r="C158" s="61" t="s">
        <v>95</v>
      </c>
      <c r="D158" s="96">
        <v>51</v>
      </c>
      <c r="E158" s="61">
        <v>849</v>
      </c>
      <c r="F158" s="61">
        <v>900</v>
      </c>
      <c r="G158" s="96">
        <v>321</v>
      </c>
      <c r="H158" s="96"/>
      <c r="I158" s="61" t="s">
        <v>95</v>
      </c>
      <c r="J158" s="96">
        <v>38</v>
      </c>
      <c r="K158" s="96">
        <v>22</v>
      </c>
      <c r="L158" s="96">
        <v>60</v>
      </c>
      <c r="M158" s="96">
        <v>20</v>
      </c>
      <c r="N158" s="96"/>
      <c r="O158" s="96">
        <v>8</v>
      </c>
      <c r="P158" s="96">
        <v>6</v>
      </c>
      <c r="Q158" s="96"/>
      <c r="R158" s="96">
        <v>4</v>
      </c>
      <c r="S158" s="96"/>
    </row>
    <row r="159" spans="2:19" x14ac:dyDescent="0.3">
      <c r="C159" s="61" t="s">
        <v>96</v>
      </c>
      <c r="D159" s="96">
        <v>175</v>
      </c>
      <c r="E159" s="61">
        <v>1136</v>
      </c>
      <c r="F159" s="61">
        <v>1311</v>
      </c>
      <c r="G159" s="96">
        <v>370</v>
      </c>
      <c r="H159" s="96"/>
      <c r="I159" s="61" t="s">
        <v>96</v>
      </c>
      <c r="J159" s="96">
        <v>80</v>
      </c>
      <c r="K159" s="96">
        <v>29</v>
      </c>
      <c r="L159" s="96">
        <v>109</v>
      </c>
      <c r="M159" s="96">
        <v>18</v>
      </c>
      <c r="N159" s="96"/>
      <c r="O159" s="96">
        <v>36</v>
      </c>
      <c r="P159" s="96">
        <v>11</v>
      </c>
      <c r="Q159" s="96"/>
      <c r="R159" s="96">
        <v>6</v>
      </c>
      <c r="S159" s="96">
        <v>9</v>
      </c>
    </row>
    <row r="160" spans="2:19" x14ac:dyDescent="0.3">
      <c r="C160" s="61" t="s">
        <v>97</v>
      </c>
      <c r="D160" s="96">
        <v>15</v>
      </c>
      <c r="E160" s="61">
        <v>882</v>
      </c>
      <c r="F160" s="61">
        <v>897</v>
      </c>
      <c r="G160" s="96">
        <v>10</v>
      </c>
      <c r="H160" s="96"/>
      <c r="I160" s="61" t="s">
        <v>97</v>
      </c>
      <c r="J160" s="96">
        <v>28</v>
      </c>
      <c r="K160" s="96">
        <v>24</v>
      </c>
      <c r="L160" s="96">
        <v>52</v>
      </c>
      <c r="M160" s="96">
        <v>7</v>
      </c>
      <c r="N160" s="96"/>
      <c r="O160" s="96">
        <v>8</v>
      </c>
      <c r="P160" s="96">
        <v>10</v>
      </c>
      <c r="Q160" s="96"/>
      <c r="R160" s="96">
        <v>3</v>
      </c>
      <c r="S160" s="96"/>
    </row>
    <row r="161" spans="3:19" x14ac:dyDescent="0.3">
      <c r="C161" s="61" t="s">
        <v>46</v>
      </c>
      <c r="D161" s="96">
        <v>15</v>
      </c>
      <c r="E161" s="61">
        <v>846</v>
      </c>
      <c r="F161" s="61">
        <v>861</v>
      </c>
      <c r="G161" s="112">
        <v>12</v>
      </c>
      <c r="H161" s="96"/>
      <c r="I161" s="61" t="s">
        <v>46</v>
      </c>
      <c r="J161" s="96">
        <v>16</v>
      </c>
      <c r="K161" s="96">
        <v>29</v>
      </c>
      <c r="L161" s="96">
        <v>45</v>
      </c>
      <c r="M161" s="96">
        <v>8</v>
      </c>
      <c r="N161" s="96"/>
      <c r="O161" s="96">
        <v>4</v>
      </c>
      <c r="P161" s="96">
        <v>2</v>
      </c>
      <c r="Q161" s="96"/>
      <c r="R161" s="96">
        <v>2</v>
      </c>
      <c r="S161" s="96"/>
    </row>
    <row r="162" spans="3:19" x14ac:dyDescent="0.3">
      <c r="C162" s="61" t="s">
        <v>47</v>
      </c>
      <c r="D162" s="96">
        <v>64</v>
      </c>
      <c r="E162" s="61">
        <v>1227</v>
      </c>
      <c r="F162" s="61">
        <v>1291</v>
      </c>
      <c r="G162" s="96">
        <v>6</v>
      </c>
      <c r="H162" s="96"/>
      <c r="I162" s="61" t="s">
        <v>47</v>
      </c>
      <c r="J162" s="96">
        <v>24</v>
      </c>
      <c r="K162" s="96">
        <v>36</v>
      </c>
      <c r="L162" s="96">
        <v>60</v>
      </c>
      <c r="M162" s="96">
        <v>11</v>
      </c>
      <c r="N162" s="96"/>
      <c r="O162" s="96">
        <v>7</v>
      </c>
      <c r="P162" s="96">
        <v>2</v>
      </c>
      <c r="Q162" s="96"/>
      <c r="R162" s="96">
        <v>4</v>
      </c>
      <c r="S162" s="96"/>
    </row>
    <row r="163" spans="3:19" x14ac:dyDescent="0.3">
      <c r="C163" s="61" t="s">
        <v>48</v>
      </c>
      <c r="D163" s="96">
        <v>71</v>
      </c>
      <c r="E163" s="61">
        <v>1015</v>
      </c>
      <c r="F163" s="61">
        <v>1086</v>
      </c>
      <c r="G163" s="96">
        <v>6</v>
      </c>
      <c r="H163" s="96"/>
      <c r="I163" s="61" t="s">
        <v>48</v>
      </c>
      <c r="J163" s="96">
        <v>73</v>
      </c>
      <c r="K163" s="96">
        <v>26</v>
      </c>
      <c r="L163" s="96">
        <v>99</v>
      </c>
      <c r="M163" s="96">
        <v>16</v>
      </c>
      <c r="N163" s="96"/>
      <c r="O163" s="96">
        <v>35</v>
      </c>
      <c r="P163" s="96">
        <v>10</v>
      </c>
      <c r="Q163" s="96"/>
      <c r="R163" s="96">
        <v>1</v>
      </c>
      <c r="S163" s="96">
        <v>11</v>
      </c>
    </row>
    <row r="164" spans="3:19" x14ac:dyDescent="0.3">
      <c r="C164" s="61" t="s">
        <v>49</v>
      </c>
      <c r="D164" s="96">
        <v>44</v>
      </c>
      <c r="E164" s="61">
        <v>790</v>
      </c>
      <c r="F164" s="61">
        <v>834</v>
      </c>
      <c r="G164" s="96">
        <v>77</v>
      </c>
      <c r="H164" s="96"/>
      <c r="I164" s="61" t="s">
        <v>49</v>
      </c>
      <c r="J164" s="96">
        <v>24</v>
      </c>
      <c r="K164" s="96">
        <v>27</v>
      </c>
      <c r="L164" s="96">
        <v>51</v>
      </c>
      <c r="M164" s="96">
        <v>13</v>
      </c>
      <c r="N164" s="96"/>
      <c r="O164" s="96">
        <v>5</v>
      </c>
      <c r="P164" s="96">
        <v>4</v>
      </c>
      <c r="Q164" s="96"/>
      <c r="R164" s="96">
        <v>2</v>
      </c>
      <c r="S164" s="96"/>
    </row>
    <row r="165" spans="3:19" x14ac:dyDescent="0.3">
      <c r="C165" s="61" t="s">
        <v>50</v>
      </c>
      <c r="D165" s="96">
        <v>62</v>
      </c>
      <c r="E165" s="61">
        <v>777</v>
      </c>
      <c r="F165" s="61">
        <v>839</v>
      </c>
      <c r="G165" s="96">
        <v>46</v>
      </c>
      <c r="H165" s="96"/>
      <c r="I165" s="61" t="s">
        <v>50</v>
      </c>
      <c r="J165" s="96">
        <v>33</v>
      </c>
      <c r="K165" s="96">
        <v>18</v>
      </c>
      <c r="L165" s="96">
        <v>51</v>
      </c>
      <c r="M165" s="96">
        <v>7</v>
      </c>
      <c r="N165" s="96"/>
      <c r="O165" s="96">
        <v>13</v>
      </c>
      <c r="P165" s="96">
        <v>10</v>
      </c>
      <c r="Q165" s="96"/>
      <c r="R165" s="96">
        <v>2</v>
      </c>
      <c r="S165" s="96">
        <v>1</v>
      </c>
    </row>
    <row r="166" spans="3:19" x14ac:dyDescent="0.3">
      <c r="C166" s="61" t="s">
        <v>51</v>
      </c>
      <c r="D166" s="96">
        <v>14</v>
      </c>
      <c r="E166" s="61">
        <v>1132</v>
      </c>
      <c r="F166" s="61">
        <v>1146</v>
      </c>
      <c r="G166" s="96">
        <v>231</v>
      </c>
      <c r="H166" s="96"/>
      <c r="I166" s="61" t="s">
        <v>51</v>
      </c>
      <c r="J166" s="96">
        <v>11</v>
      </c>
      <c r="K166" s="96">
        <v>46</v>
      </c>
      <c r="L166" s="96">
        <v>57</v>
      </c>
      <c r="M166" s="96">
        <v>4</v>
      </c>
      <c r="N166" s="96"/>
      <c r="O166" s="96">
        <v>3</v>
      </c>
      <c r="P166" s="96">
        <v>2</v>
      </c>
      <c r="Q166" s="96"/>
      <c r="R166" s="96">
        <v>2</v>
      </c>
      <c r="S166" s="96"/>
    </row>
    <row r="167" spans="3:19" x14ac:dyDescent="0.3">
      <c r="C167" s="61" t="s">
        <v>52</v>
      </c>
      <c r="D167" s="96">
        <v>16</v>
      </c>
      <c r="E167" s="61">
        <v>634</v>
      </c>
      <c r="F167" s="61">
        <v>1457</v>
      </c>
      <c r="G167" s="96">
        <v>536</v>
      </c>
      <c r="I167" s="61" t="s">
        <v>52</v>
      </c>
      <c r="J167" s="96">
        <v>35</v>
      </c>
      <c r="K167" s="96">
        <v>48</v>
      </c>
      <c r="L167" s="96">
        <v>83</v>
      </c>
      <c r="M167" s="96">
        <v>10</v>
      </c>
      <c r="N167" s="96"/>
      <c r="O167" s="96">
        <v>7</v>
      </c>
      <c r="P167" s="96">
        <v>13</v>
      </c>
      <c r="Q167" s="96"/>
      <c r="R167" s="96">
        <v>2</v>
      </c>
      <c r="S167" s="96">
        <v>3</v>
      </c>
    </row>
    <row r="168" spans="3:19" x14ac:dyDescent="0.3">
      <c r="C168" s="61" t="s">
        <v>53</v>
      </c>
      <c r="D168" s="96">
        <v>505</v>
      </c>
      <c r="E168" s="96">
        <v>934</v>
      </c>
      <c r="F168" s="96">
        <v>1439</v>
      </c>
      <c r="G168" s="96">
        <v>5</v>
      </c>
      <c r="I168" s="61" t="s">
        <v>53</v>
      </c>
      <c r="J168" s="96">
        <v>40</v>
      </c>
      <c r="K168" s="96">
        <v>30</v>
      </c>
      <c r="L168" s="96">
        <v>70</v>
      </c>
      <c r="M168" s="96">
        <v>13</v>
      </c>
      <c r="N168" s="96"/>
      <c r="O168" s="96">
        <v>40</v>
      </c>
      <c r="P168" s="96">
        <v>15</v>
      </c>
      <c r="Q168" s="96"/>
      <c r="R168" s="96">
        <v>0</v>
      </c>
      <c r="S168" s="96">
        <v>10</v>
      </c>
    </row>
    <row r="169" spans="3:19" x14ac:dyDescent="0.3">
      <c r="C169" s="61" t="s">
        <v>54</v>
      </c>
      <c r="D169" s="96">
        <v>15</v>
      </c>
      <c r="E169" s="96">
        <v>920</v>
      </c>
      <c r="F169" s="96">
        <v>1099</v>
      </c>
      <c r="G169" s="96">
        <v>5</v>
      </c>
      <c r="I169" s="61" t="s">
        <v>54</v>
      </c>
      <c r="J169" s="96">
        <v>31</v>
      </c>
      <c r="K169" s="96">
        <v>32</v>
      </c>
      <c r="L169" s="96">
        <v>63</v>
      </c>
      <c r="M169" s="96">
        <v>6</v>
      </c>
      <c r="N169" s="96"/>
      <c r="O169" s="96">
        <v>10</v>
      </c>
      <c r="P169" s="96">
        <v>13</v>
      </c>
      <c r="Q169" s="96"/>
      <c r="R169" s="96">
        <v>0</v>
      </c>
      <c r="S169" s="96">
        <v>1</v>
      </c>
    </row>
    <row r="170" spans="3:19" x14ac:dyDescent="0.3">
      <c r="C170" s="61" t="s">
        <v>55</v>
      </c>
      <c r="D170" s="96">
        <v>9</v>
      </c>
      <c r="E170" s="96">
        <v>660</v>
      </c>
      <c r="F170" s="96">
        <v>669</v>
      </c>
      <c r="G170" s="96">
        <v>6</v>
      </c>
      <c r="I170" s="61" t="s">
        <v>55</v>
      </c>
      <c r="J170" s="96">
        <v>37</v>
      </c>
      <c r="K170" s="96">
        <v>15</v>
      </c>
      <c r="L170" s="96">
        <v>52</v>
      </c>
      <c r="M170" s="96">
        <v>10</v>
      </c>
      <c r="N170" s="96"/>
      <c r="O170" s="96">
        <v>8</v>
      </c>
      <c r="P170" s="96">
        <v>17</v>
      </c>
      <c r="Q170" s="96"/>
      <c r="R170" s="96">
        <v>0</v>
      </c>
      <c r="S170" s="96">
        <v>2</v>
      </c>
    </row>
  </sheetData>
  <mergeCells count="1">
    <mergeCell ref="A92:B92"/>
  </mergeCells>
  <phoneticPr fontId="7" type="noConversion"/>
  <pageMargins left="0.7" right="0.7" top="0.75" bottom="0.75" header="0.3" footer="0.3"/>
  <pageSetup orientation="portrait" horizontalDpi="90" verticalDpi="9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O22"/>
  <sheetViews>
    <sheetView zoomScaleNormal="100" workbookViewId="0">
      <pane xSplit="1" topLeftCell="FB1" activePane="topRight" state="frozen"/>
      <selection pane="topRight" activeCell="FQ14" sqref="FQ14"/>
    </sheetView>
  </sheetViews>
  <sheetFormatPr defaultColWidth="8.90625" defaultRowHeight="13" x14ac:dyDescent="0.3"/>
  <cols>
    <col min="1" max="2" width="20.453125" style="58" customWidth="1"/>
    <col min="3" max="3" width="12.1796875" style="58" bestFit="1" customWidth="1"/>
    <col min="4" max="5" width="8.90625" style="58"/>
    <col min="6" max="6" width="9.453125" style="58" customWidth="1"/>
    <col min="7" max="7" width="13" style="91" customWidth="1"/>
    <col min="8" max="8" width="8.90625" style="58"/>
    <col min="9" max="9" width="14.81640625" style="58" customWidth="1"/>
    <col min="10" max="10" width="10.453125" style="58" bestFit="1" customWidth="1"/>
    <col min="11" max="12" width="8.90625" style="58"/>
    <col min="13" max="13" width="11.453125" style="58" bestFit="1" customWidth="1"/>
    <col min="14" max="16" width="13.453125" style="58" bestFit="1" customWidth="1"/>
    <col min="17" max="43" width="8.90625" style="58"/>
    <col min="44" max="44" width="9.08984375" style="91"/>
    <col min="45" max="49" width="8.90625" style="58"/>
    <col min="50" max="51" width="9.08984375" style="91"/>
    <col min="52" max="16384" width="8.90625" style="58"/>
  </cols>
  <sheetData>
    <row r="1" spans="1:171" x14ac:dyDescent="0.3">
      <c r="CO1" s="59">
        <v>2023</v>
      </c>
    </row>
    <row r="2" spans="1:171" x14ac:dyDescent="0.3">
      <c r="B2" s="58" t="s">
        <v>184</v>
      </c>
      <c r="C2" s="58" t="s">
        <v>106</v>
      </c>
      <c r="D2" s="58" t="s">
        <v>107</v>
      </c>
      <c r="E2" s="58" t="s">
        <v>108</v>
      </c>
      <c r="F2" s="102" t="s">
        <v>109</v>
      </c>
      <c r="G2" s="102" t="s">
        <v>110</v>
      </c>
      <c r="H2" s="102" t="s">
        <v>111</v>
      </c>
      <c r="I2" s="102" t="s">
        <v>112</v>
      </c>
      <c r="J2" s="102" t="s">
        <v>113</v>
      </c>
      <c r="K2" s="91" t="s">
        <v>114</v>
      </c>
      <c r="L2" s="91" t="s">
        <v>115</v>
      </c>
      <c r="M2" s="91" t="s">
        <v>116</v>
      </c>
      <c r="N2" s="91" t="s">
        <v>117</v>
      </c>
      <c r="O2" s="91" t="s">
        <v>118</v>
      </c>
      <c r="P2" s="91" t="s">
        <v>119</v>
      </c>
      <c r="Q2" s="91" t="s">
        <v>120</v>
      </c>
      <c r="R2" s="91" t="s">
        <v>185</v>
      </c>
      <c r="S2" s="91" t="s">
        <v>122</v>
      </c>
      <c r="T2" s="91" t="s">
        <v>123</v>
      </c>
      <c r="U2" s="91" t="s">
        <v>124</v>
      </c>
      <c r="V2" s="91" t="s">
        <v>125</v>
      </c>
      <c r="W2" s="91" t="s">
        <v>126</v>
      </c>
      <c r="X2" s="91" t="s">
        <v>127</v>
      </c>
      <c r="Y2" s="91" t="s">
        <v>128</v>
      </c>
      <c r="Z2" s="91" t="s">
        <v>129</v>
      </c>
      <c r="AA2" s="91" t="s">
        <v>130</v>
      </c>
      <c r="AB2" s="91" t="s">
        <v>131</v>
      </c>
      <c r="AC2" s="91" t="s">
        <v>132</v>
      </c>
      <c r="AD2" s="91" t="s">
        <v>133</v>
      </c>
      <c r="AE2" s="91" t="s">
        <v>134</v>
      </c>
      <c r="AF2" s="91" t="s">
        <v>135</v>
      </c>
      <c r="AG2" s="91" t="s">
        <v>136</v>
      </c>
      <c r="AH2" s="91" t="s">
        <v>137</v>
      </c>
      <c r="AI2" s="91" t="s">
        <v>138</v>
      </c>
      <c r="AJ2" s="91" t="s">
        <v>139</v>
      </c>
      <c r="AK2" s="91" t="s">
        <v>140</v>
      </c>
      <c r="AL2" s="91" t="s">
        <v>141</v>
      </c>
      <c r="AM2" s="91" t="s">
        <v>142</v>
      </c>
      <c r="AN2" s="91" t="s">
        <v>143</v>
      </c>
      <c r="AO2" s="91" t="s">
        <v>144</v>
      </c>
      <c r="AP2" s="91" t="s">
        <v>145</v>
      </c>
      <c r="AQ2" s="91" t="s">
        <v>146</v>
      </c>
      <c r="AR2" s="91" t="s">
        <v>147</v>
      </c>
      <c r="AS2" s="91" t="s">
        <v>148</v>
      </c>
      <c r="AT2" s="91" t="s">
        <v>149</v>
      </c>
      <c r="AU2" s="91" t="s">
        <v>150</v>
      </c>
      <c r="AV2" s="91" t="s">
        <v>151</v>
      </c>
      <c r="EO2" s="92">
        <v>2024</v>
      </c>
    </row>
    <row r="3" spans="1:171" x14ac:dyDescent="0.3">
      <c r="A3" s="60" t="s">
        <v>186</v>
      </c>
      <c r="B3" s="60" t="s">
        <v>187</v>
      </c>
      <c r="C3" s="60" t="s">
        <v>95</v>
      </c>
      <c r="D3" s="60" t="s">
        <v>96</v>
      </c>
      <c r="E3" s="60" t="s">
        <v>97</v>
      </c>
      <c r="F3" s="60" t="s">
        <v>46</v>
      </c>
      <c r="G3" s="60" t="s">
        <v>47</v>
      </c>
      <c r="H3" s="60" t="s">
        <v>48</v>
      </c>
      <c r="I3" s="60" t="s">
        <v>49</v>
      </c>
      <c r="J3" s="60" t="s">
        <v>50</v>
      </c>
      <c r="K3" s="103" t="s">
        <v>51</v>
      </c>
      <c r="L3" s="103" t="s">
        <v>52</v>
      </c>
      <c r="M3" s="103" t="s">
        <v>53</v>
      </c>
      <c r="N3" s="103" t="s">
        <v>54</v>
      </c>
      <c r="O3" s="103" t="s">
        <v>55</v>
      </c>
      <c r="P3" s="103" t="s">
        <v>56</v>
      </c>
      <c r="Q3" s="103" t="s">
        <v>57</v>
      </c>
      <c r="R3" s="103" t="s">
        <v>58</v>
      </c>
      <c r="S3" s="103" t="s">
        <v>59</v>
      </c>
      <c r="T3" s="103" t="s">
        <v>60</v>
      </c>
      <c r="U3" s="103" t="s">
        <v>61</v>
      </c>
      <c r="V3" s="103" t="s">
        <v>62</v>
      </c>
      <c r="W3" s="103" t="s">
        <v>63</v>
      </c>
      <c r="X3" s="103" t="s">
        <v>64</v>
      </c>
      <c r="Y3" s="103" t="s">
        <v>65</v>
      </c>
      <c r="Z3" s="103" t="s">
        <v>66</v>
      </c>
      <c r="AA3" s="103" t="s">
        <v>67</v>
      </c>
      <c r="AB3" s="103" t="s">
        <v>68</v>
      </c>
      <c r="AC3" s="103" t="s">
        <v>69</v>
      </c>
      <c r="AD3" s="103" t="s">
        <v>70</v>
      </c>
      <c r="AE3" s="103" t="s">
        <v>71</v>
      </c>
      <c r="AF3" s="103" t="s">
        <v>72</v>
      </c>
      <c r="AG3" s="103" t="s">
        <v>73</v>
      </c>
      <c r="AH3" s="103" t="s">
        <v>74</v>
      </c>
      <c r="AI3" s="103" t="s">
        <v>75</v>
      </c>
      <c r="AJ3" s="103" t="s">
        <v>76</v>
      </c>
      <c r="AK3" s="103" t="s">
        <v>77</v>
      </c>
      <c r="AL3" s="103" t="s">
        <v>78</v>
      </c>
      <c r="AM3" s="103" t="s">
        <v>79</v>
      </c>
      <c r="AN3" s="103" t="s">
        <v>80</v>
      </c>
      <c r="AO3" s="104" t="s">
        <v>81</v>
      </c>
      <c r="AP3" s="104" t="s">
        <v>82</v>
      </c>
      <c r="AQ3" s="104" t="s">
        <v>83</v>
      </c>
      <c r="AR3" s="104" t="s">
        <v>84</v>
      </c>
      <c r="AS3" s="104" t="s">
        <v>85</v>
      </c>
      <c r="AT3" s="104" t="s">
        <v>86</v>
      </c>
      <c r="AU3" s="104" t="s">
        <v>87</v>
      </c>
      <c r="AV3" s="104" t="s">
        <v>88</v>
      </c>
      <c r="AW3" s="104" t="s">
        <v>89</v>
      </c>
      <c r="AX3" s="104" t="s">
        <v>90</v>
      </c>
      <c r="AY3" s="104" t="s">
        <v>91</v>
      </c>
      <c r="AZ3" s="104" t="s">
        <v>92</v>
      </c>
      <c r="BA3" s="104" t="s">
        <v>93</v>
      </c>
      <c r="BB3" s="104" t="s">
        <v>94</v>
      </c>
      <c r="BC3" s="104" t="s">
        <v>95</v>
      </c>
      <c r="BD3" s="104" t="s">
        <v>96</v>
      </c>
      <c r="BE3" s="104" t="s">
        <v>97</v>
      </c>
      <c r="BF3" s="104" t="s">
        <v>46</v>
      </c>
      <c r="BG3" s="104" t="s">
        <v>47</v>
      </c>
      <c r="BH3" s="104" t="s">
        <v>48</v>
      </c>
      <c r="BI3" s="104" t="s">
        <v>49</v>
      </c>
      <c r="BJ3" s="104" t="s">
        <v>50</v>
      </c>
      <c r="BK3" s="104" t="s">
        <v>51</v>
      </c>
      <c r="BL3" s="104" t="s">
        <v>52</v>
      </c>
      <c r="BM3" s="104" t="s">
        <v>53</v>
      </c>
      <c r="BN3" s="104" t="s">
        <v>54</v>
      </c>
      <c r="BO3" s="104" t="s">
        <v>55</v>
      </c>
      <c r="BP3" s="104" t="s">
        <v>56</v>
      </c>
      <c r="BQ3" s="104" t="s">
        <v>57</v>
      </c>
      <c r="BR3" s="104" t="s">
        <v>58</v>
      </c>
      <c r="BS3" s="104" t="s">
        <v>59</v>
      </c>
      <c r="BT3" s="104" t="s">
        <v>60</v>
      </c>
      <c r="BU3" s="104" t="s">
        <v>61</v>
      </c>
      <c r="BV3" s="104" t="s">
        <v>62</v>
      </c>
      <c r="BW3" s="104" t="s">
        <v>63</v>
      </c>
      <c r="BX3" s="104" t="s">
        <v>64</v>
      </c>
      <c r="BY3" s="104" t="s">
        <v>65</v>
      </c>
      <c r="BZ3" s="104" t="s">
        <v>66</v>
      </c>
      <c r="CA3" s="104" t="s">
        <v>67</v>
      </c>
      <c r="CB3" s="104" t="s">
        <v>68</v>
      </c>
      <c r="CC3" s="104" t="s">
        <v>69</v>
      </c>
      <c r="CD3" s="104" t="s">
        <v>70</v>
      </c>
      <c r="CE3" s="104" t="s">
        <v>71</v>
      </c>
      <c r="CF3" s="104" t="s">
        <v>72</v>
      </c>
      <c r="CG3" s="104" t="s">
        <v>73</v>
      </c>
      <c r="CH3" s="104" t="s">
        <v>74</v>
      </c>
      <c r="CI3" s="104" t="s">
        <v>75</v>
      </c>
      <c r="CJ3" s="104" t="s">
        <v>76</v>
      </c>
      <c r="CK3" s="104" t="s">
        <v>77</v>
      </c>
      <c r="CL3" s="110" t="s">
        <v>78</v>
      </c>
      <c r="CM3" s="103" t="s">
        <v>79</v>
      </c>
      <c r="CN3" s="103" t="s">
        <v>80</v>
      </c>
      <c r="CO3" s="103" t="s">
        <v>210</v>
      </c>
      <c r="CP3" s="103" t="s">
        <v>211</v>
      </c>
      <c r="CQ3" s="103" t="s">
        <v>212</v>
      </c>
      <c r="CR3" s="103" t="s">
        <v>213</v>
      </c>
      <c r="CS3" s="103" t="s">
        <v>214</v>
      </c>
      <c r="CT3" s="103" t="s">
        <v>216</v>
      </c>
      <c r="CU3" s="103" t="s">
        <v>217</v>
      </c>
      <c r="CV3" s="103" t="s">
        <v>218</v>
      </c>
      <c r="CW3" s="103" t="s">
        <v>220</v>
      </c>
      <c r="CX3" s="103" t="s">
        <v>90</v>
      </c>
      <c r="CY3" s="103" t="s">
        <v>91</v>
      </c>
      <c r="CZ3" s="103" t="s">
        <v>92</v>
      </c>
      <c r="DA3" s="103" t="s">
        <v>93</v>
      </c>
      <c r="DB3" s="103" t="s">
        <v>94</v>
      </c>
      <c r="DC3" s="103" t="s">
        <v>95</v>
      </c>
      <c r="DD3" s="103" t="s">
        <v>96</v>
      </c>
      <c r="DE3" s="103" t="s">
        <v>97</v>
      </c>
      <c r="DF3" s="103" t="s">
        <v>46</v>
      </c>
      <c r="DG3" s="103" t="s">
        <v>47</v>
      </c>
      <c r="DH3" s="103" t="s">
        <v>48</v>
      </c>
      <c r="DI3" s="103" t="s">
        <v>49</v>
      </c>
      <c r="DJ3" s="103" t="s">
        <v>50</v>
      </c>
      <c r="DK3" s="103" t="s">
        <v>51</v>
      </c>
      <c r="DL3" s="103" t="s">
        <v>52</v>
      </c>
      <c r="DM3" s="103" t="s">
        <v>53</v>
      </c>
      <c r="DN3" s="103" t="s">
        <v>54</v>
      </c>
      <c r="DO3" s="103" t="s">
        <v>55</v>
      </c>
      <c r="DP3" s="103" t="s">
        <v>56</v>
      </c>
      <c r="DQ3" s="103" t="s">
        <v>57</v>
      </c>
      <c r="DR3" s="103" t="s">
        <v>58</v>
      </c>
      <c r="DS3" s="103" t="s">
        <v>59</v>
      </c>
      <c r="DT3" s="103" t="s">
        <v>60</v>
      </c>
      <c r="DU3" s="103" t="s">
        <v>61</v>
      </c>
      <c r="DV3" s="103" t="s">
        <v>62</v>
      </c>
      <c r="DW3" s="103" t="s">
        <v>63</v>
      </c>
      <c r="DX3" s="103" t="s">
        <v>64</v>
      </c>
      <c r="DY3" s="103" t="s">
        <v>65</v>
      </c>
      <c r="DZ3" s="103" t="s">
        <v>66</v>
      </c>
      <c r="EA3" s="103" t="s">
        <v>67</v>
      </c>
      <c r="EB3" s="103" t="s">
        <v>68</v>
      </c>
      <c r="EC3" s="103" t="s">
        <v>69</v>
      </c>
      <c r="ED3" s="103" t="s">
        <v>70</v>
      </c>
      <c r="EE3" s="103" t="s">
        <v>71</v>
      </c>
      <c r="EF3" s="103" t="s">
        <v>72</v>
      </c>
      <c r="EG3" s="103" t="s">
        <v>73</v>
      </c>
      <c r="EH3" s="103" t="s">
        <v>74</v>
      </c>
      <c r="EI3" s="103" t="s">
        <v>75</v>
      </c>
      <c r="EJ3" s="103" t="s">
        <v>76</v>
      </c>
      <c r="EK3" s="103" t="s">
        <v>77</v>
      </c>
      <c r="EL3" s="103" t="s">
        <v>78</v>
      </c>
      <c r="EM3" s="103" t="s">
        <v>79</v>
      </c>
      <c r="EN3" s="103" t="s">
        <v>80</v>
      </c>
      <c r="EO3" s="103" t="s">
        <v>210</v>
      </c>
      <c r="EP3" s="103" t="s">
        <v>211</v>
      </c>
      <c r="EQ3" s="103" t="s">
        <v>212</v>
      </c>
      <c r="ER3" s="103" t="s">
        <v>213</v>
      </c>
      <c r="ES3" s="103" t="s">
        <v>214</v>
      </c>
      <c r="ET3" s="103" t="s">
        <v>216</v>
      </c>
      <c r="EU3" s="103" t="s">
        <v>217</v>
      </c>
      <c r="EV3" s="103" t="s">
        <v>218</v>
      </c>
      <c r="EW3" s="103" t="s">
        <v>220</v>
      </c>
      <c r="EX3" s="103" t="s">
        <v>90</v>
      </c>
      <c r="EY3" s="103" t="s">
        <v>91</v>
      </c>
      <c r="EZ3" s="103" t="s">
        <v>92</v>
      </c>
      <c r="FA3" s="103" t="s">
        <v>93</v>
      </c>
      <c r="FB3" s="103" t="s">
        <v>94</v>
      </c>
      <c r="FC3" s="103" t="s">
        <v>95</v>
      </c>
      <c r="FD3" s="103" t="s">
        <v>96</v>
      </c>
      <c r="FE3" s="103" t="s">
        <v>97</v>
      </c>
      <c r="FF3" s="103" t="s">
        <v>46</v>
      </c>
      <c r="FG3" s="103" t="s">
        <v>47</v>
      </c>
      <c r="FH3" s="103" t="s">
        <v>48</v>
      </c>
      <c r="FI3" s="103" t="s">
        <v>49</v>
      </c>
      <c r="FJ3" s="103" t="s">
        <v>50</v>
      </c>
      <c r="FK3" s="103" t="s">
        <v>51</v>
      </c>
      <c r="FL3" s="103" t="s">
        <v>52</v>
      </c>
      <c r="FM3" s="103" t="s">
        <v>53</v>
      </c>
      <c r="FN3" s="103" t="s">
        <v>54</v>
      </c>
      <c r="FO3" s="103" t="s">
        <v>55</v>
      </c>
    </row>
    <row r="4" spans="1:171" x14ac:dyDescent="0.3">
      <c r="A4" s="61" t="s">
        <v>215</v>
      </c>
      <c r="B4" s="61"/>
      <c r="C4" s="61">
        <v>3</v>
      </c>
      <c r="D4" s="61">
        <v>7</v>
      </c>
      <c r="E4" s="61">
        <v>8</v>
      </c>
      <c r="F4" s="61">
        <v>2</v>
      </c>
      <c r="G4" s="61">
        <v>3</v>
      </c>
      <c r="H4" s="61">
        <v>7</v>
      </c>
      <c r="I4" s="61">
        <v>2</v>
      </c>
      <c r="J4" s="61">
        <v>3</v>
      </c>
      <c r="K4" s="94">
        <v>7</v>
      </c>
      <c r="L4" s="94">
        <v>12</v>
      </c>
      <c r="M4" s="94">
        <v>9</v>
      </c>
      <c r="N4" s="94">
        <v>6</v>
      </c>
      <c r="O4" s="94">
        <v>5</v>
      </c>
      <c r="P4" s="94">
        <v>6</v>
      </c>
      <c r="Q4" s="94">
        <v>4</v>
      </c>
      <c r="R4" s="94">
        <v>5</v>
      </c>
      <c r="S4" s="94">
        <v>1</v>
      </c>
      <c r="T4" s="94">
        <v>4</v>
      </c>
      <c r="U4" s="94">
        <v>6</v>
      </c>
      <c r="V4" s="94">
        <v>5</v>
      </c>
      <c r="W4" s="94">
        <v>6</v>
      </c>
      <c r="X4" s="94">
        <v>0</v>
      </c>
      <c r="Y4" s="94">
        <v>9</v>
      </c>
      <c r="Z4" s="94">
        <v>1</v>
      </c>
      <c r="AA4" s="94">
        <v>6</v>
      </c>
      <c r="AB4" s="94">
        <v>6</v>
      </c>
      <c r="AC4" s="94">
        <v>15</v>
      </c>
      <c r="AD4" s="94">
        <v>10</v>
      </c>
      <c r="AE4" s="95">
        <v>19</v>
      </c>
      <c r="AF4" s="95">
        <v>12</v>
      </c>
      <c r="AG4" s="95">
        <v>8</v>
      </c>
      <c r="AH4" s="95">
        <v>16</v>
      </c>
      <c r="AI4" s="91">
        <v>6</v>
      </c>
      <c r="AJ4" s="91">
        <v>21</v>
      </c>
      <c r="AK4" s="91">
        <v>13</v>
      </c>
      <c r="AL4" s="91">
        <v>19</v>
      </c>
      <c r="AM4" s="91">
        <v>11</v>
      </c>
      <c r="AN4" s="91">
        <v>7</v>
      </c>
      <c r="AO4" s="91">
        <v>16</v>
      </c>
      <c r="AP4" s="91">
        <v>20</v>
      </c>
      <c r="AQ4" s="91">
        <v>20</v>
      </c>
      <c r="AR4" s="91">
        <v>19</v>
      </c>
      <c r="AS4" s="91">
        <v>15</v>
      </c>
      <c r="AT4" s="91">
        <v>20</v>
      </c>
      <c r="AU4" s="91">
        <v>22</v>
      </c>
      <c r="AV4" s="91">
        <v>27</v>
      </c>
      <c r="AW4" s="91">
        <v>28</v>
      </c>
      <c r="AX4" s="91">
        <v>30</v>
      </c>
      <c r="AY4" s="91">
        <v>20</v>
      </c>
      <c r="AZ4" s="91">
        <v>45</v>
      </c>
      <c r="BA4" s="91">
        <v>39</v>
      </c>
      <c r="BB4" s="91">
        <v>10</v>
      </c>
      <c r="BC4" s="91">
        <v>29</v>
      </c>
      <c r="BD4" s="91">
        <v>30</v>
      </c>
      <c r="BE4" s="91">
        <v>12</v>
      </c>
      <c r="BF4" s="91">
        <v>16</v>
      </c>
      <c r="BG4" s="91">
        <v>18</v>
      </c>
      <c r="BH4" s="91">
        <v>20</v>
      </c>
      <c r="BI4" s="91">
        <v>23</v>
      </c>
      <c r="BJ4" s="91">
        <v>37</v>
      </c>
      <c r="BK4" s="91">
        <v>0</v>
      </c>
      <c r="BL4" s="91">
        <v>0</v>
      </c>
      <c r="BM4" s="91">
        <v>0</v>
      </c>
      <c r="BN4" s="91">
        <v>0</v>
      </c>
      <c r="BO4" s="91">
        <v>0</v>
      </c>
      <c r="BP4" s="91">
        <v>0</v>
      </c>
      <c r="BQ4" s="91">
        <v>0</v>
      </c>
      <c r="BR4" s="91">
        <v>0</v>
      </c>
      <c r="BS4" s="91">
        <v>0</v>
      </c>
      <c r="BT4" s="91">
        <v>0</v>
      </c>
      <c r="BU4" s="91">
        <v>0</v>
      </c>
      <c r="BV4" s="91">
        <v>0</v>
      </c>
      <c r="BW4" s="91">
        <v>0</v>
      </c>
      <c r="BX4" s="91">
        <v>0</v>
      </c>
      <c r="BY4" s="91">
        <v>0</v>
      </c>
      <c r="BZ4" s="91">
        <v>0</v>
      </c>
      <c r="CA4" s="91">
        <v>0</v>
      </c>
      <c r="CB4" s="91">
        <v>0</v>
      </c>
      <c r="CC4" s="91">
        <v>0</v>
      </c>
      <c r="CD4" s="91">
        <v>0</v>
      </c>
      <c r="CE4" s="91">
        <v>0</v>
      </c>
      <c r="CF4" s="91">
        <v>0</v>
      </c>
      <c r="CG4" s="91">
        <v>0</v>
      </c>
      <c r="CH4" s="91">
        <v>0</v>
      </c>
      <c r="CI4" s="58">
        <v>0</v>
      </c>
      <c r="CJ4" s="58">
        <v>0</v>
      </c>
      <c r="CK4" s="58">
        <v>0</v>
      </c>
      <c r="CL4" s="58">
        <v>0</v>
      </c>
      <c r="CM4" s="62">
        <v>0</v>
      </c>
      <c r="CN4" s="62">
        <v>0</v>
      </c>
      <c r="CO4" s="62">
        <v>0</v>
      </c>
      <c r="CP4" s="62">
        <v>0</v>
      </c>
      <c r="CQ4" s="62">
        <v>0</v>
      </c>
      <c r="CR4" s="62">
        <v>0</v>
      </c>
      <c r="CS4" s="62">
        <v>4</v>
      </c>
      <c r="CT4" s="62">
        <v>0</v>
      </c>
      <c r="CU4" s="62">
        <v>4</v>
      </c>
      <c r="CV4" s="62">
        <v>4</v>
      </c>
      <c r="CW4" s="62">
        <v>5</v>
      </c>
      <c r="CX4" s="62">
        <v>1</v>
      </c>
      <c r="CY4" s="62">
        <v>6</v>
      </c>
      <c r="CZ4" s="62">
        <v>3</v>
      </c>
      <c r="DA4" s="62">
        <v>2</v>
      </c>
      <c r="DB4" s="62">
        <v>1</v>
      </c>
      <c r="DC4" s="62">
        <v>2</v>
      </c>
      <c r="DD4" s="62">
        <v>5</v>
      </c>
      <c r="DE4" s="62">
        <v>2</v>
      </c>
      <c r="DF4" s="62">
        <v>2</v>
      </c>
      <c r="DG4" s="62">
        <v>2</v>
      </c>
      <c r="DH4" s="62">
        <v>6</v>
      </c>
      <c r="DI4" s="62">
        <v>3</v>
      </c>
      <c r="DJ4" s="62">
        <v>8</v>
      </c>
      <c r="DK4" s="62">
        <v>5</v>
      </c>
      <c r="DL4" s="62">
        <v>7</v>
      </c>
      <c r="DM4" s="62">
        <v>4</v>
      </c>
      <c r="DN4" s="62">
        <v>9</v>
      </c>
      <c r="DO4" s="62">
        <v>12</v>
      </c>
      <c r="DP4" s="62">
        <v>10</v>
      </c>
      <c r="DQ4" s="62">
        <v>11</v>
      </c>
      <c r="DR4" s="62">
        <v>9</v>
      </c>
      <c r="DS4" s="62">
        <v>12</v>
      </c>
      <c r="DT4" s="62">
        <v>16</v>
      </c>
      <c r="DU4" s="62">
        <v>6</v>
      </c>
      <c r="DV4" s="62">
        <v>11</v>
      </c>
      <c r="DW4" s="62">
        <v>18</v>
      </c>
      <c r="DX4" s="62">
        <v>9</v>
      </c>
      <c r="DY4" s="62">
        <v>17</v>
      </c>
      <c r="DZ4" s="62">
        <v>18</v>
      </c>
      <c r="EA4" s="62">
        <v>13</v>
      </c>
      <c r="EB4" s="62">
        <v>14</v>
      </c>
      <c r="EC4" s="62">
        <v>16</v>
      </c>
      <c r="ED4" s="62">
        <v>12</v>
      </c>
      <c r="EE4" s="62">
        <v>22</v>
      </c>
      <c r="EF4" s="62">
        <v>13</v>
      </c>
      <c r="EG4" s="62">
        <v>35</v>
      </c>
      <c r="EH4" s="62">
        <v>31</v>
      </c>
      <c r="EI4" s="62">
        <v>21</v>
      </c>
      <c r="EJ4" s="62">
        <v>20</v>
      </c>
      <c r="EK4" s="62">
        <v>15</v>
      </c>
      <c r="EL4" s="62">
        <v>29</v>
      </c>
      <c r="EM4" s="62">
        <v>22</v>
      </c>
      <c r="EN4" s="62">
        <v>4</v>
      </c>
      <c r="EO4" s="62">
        <v>5</v>
      </c>
      <c r="EP4" s="62">
        <v>14</v>
      </c>
      <c r="EQ4" s="62">
        <v>18</v>
      </c>
      <c r="ER4" s="62">
        <v>26</v>
      </c>
      <c r="ES4" s="62">
        <v>17</v>
      </c>
      <c r="ET4" s="62">
        <v>27</v>
      </c>
      <c r="EU4" s="62">
        <v>13</v>
      </c>
      <c r="EV4" s="62">
        <v>29</v>
      </c>
      <c r="EW4" s="62">
        <v>21</v>
      </c>
      <c r="EX4" s="62">
        <v>31</v>
      </c>
      <c r="EY4" s="62">
        <v>23</v>
      </c>
      <c r="EZ4" s="62">
        <v>12</v>
      </c>
      <c r="FA4" s="62">
        <v>15</v>
      </c>
      <c r="FB4" s="62">
        <v>28</v>
      </c>
      <c r="FC4" s="62">
        <v>27</v>
      </c>
      <c r="FD4" s="62">
        <v>15</v>
      </c>
      <c r="FE4" s="62">
        <v>25</v>
      </c>
      <c r="FF4" s="62">
        <v>28</v>
      </c>
      <c r="FG4" s="62">
        <v>28</v>
      </c>
      <c r="FH4" s="62">
        <v>34</v>
      </c>
      <c r="FI4" s="62">
        <v>33</v>
      </c>
      <c r="FJ4" s="62">
        <v>18</v>
      </c>
      <c r="FK4" s="62">
        <v>46</v>
      </c>
      <c r="FL4" s="62">
        <v>38</v>
      </c>
      <c r="FM4" s="62">
        <v>32</v>
      </c>
      <c r="FN4" s="62">
        <v>31</v>
      </c>
      <c r="FO4" s="62">
        <v>24</v>
      </c>
    </row>
    <row r="5" spans="1:171" x14ac:dyDescent="0.3">
      <c r="A5" s="99" t="s">
        <v>188</v>
      </c>
      <c r="B5" s="61"/>
      <c r="C5" s="61"/>
      <c r="D5" s="61"/>
      <c r="E5" s="61"/>
      <c r="F5" s="61"/>
      <c r="G5" s="61"/>
      <c r="H5" s="61"/>
      <c r="I5" s="61"/>
      <c r="J5" s="61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5"/>
      <c r="AF5" s="95"/>
      <c r="AG5" s="95"/>
      <c r="AH5" s="95"/>
      <c r="AI5" s="91"/>
      <c r="AJ5" s="91"/>
      <c r="AK5" s="91"/>
      <c r="AM5" s="91"/>
      <c r="AN5" s="91"/>
      <c r="AO5" s="91"/>
      <c r="AP5" s="91"/>
      <c r="AQ5" s="91"/>
      <c r="AS5" s="91"/>
      <c r="AT5" s="91"/>
      <c r="AU5" s="91"/>
      <c r="AV5" s="91"/>
      <c r="AW5" s="58">
        <v>1</v>
      </c>
      <c r="AX5" s="91">
        <v>3</v>
      </c>
      <c r="AY5" s="91">
        <v>0</v>
      </c>
      <c r="AZ5" s="91">
        <v>2</v>
      </c>
      <c r="BA5" s="91">
        <v>0</v>
      </c>
      <c r="BB5" s="91">
        <v>0</v>
      </c>
      <c r="BC5" s="91">
        <v>0</v>
      </c>
      <c r="BD5" s="91">
        <v>0</v>
      </c>
      <c r="BE5" s="91">
        <v>0</v>
      </c>
      <c r="BF5" s="91">
        <v>0</v>
      </c>
      <c r="BG5" s="91">
        <v>0</v>
      </c>
      <c r="BH5" s="91">
        <v>0</v>
      </c>
      <c r="BI5" s="91">
        <v>0</v>
      </c>
      <c r="BJ5" s="91">
        <v>0</v>
      </c>
      <c r="BK5" s="91">
        <v>5</v>
      </c>
      <c r="BL5" s="91">
        <v>5</v>
      </c>
      <c r="BM5" s="91">
        <v>3</v>
      </c>
      <c r="BN5" s="91">
        <v>8</v>
      </c>
      <c r="BO5" s="91">
        <v>4</v>
      </c>
      <c r="BP5" s="91">
        <v>4</v>
      </c>
      <c r="BQ5" s="91">
        <v>8</v>
      </c>
      <c r="BR5" s="91">
        <v>8</v>
      </c>
      <c r="BS5" s="91">
        <v>8</v>
      </c>
      <c r="BT5" s="91">
        <v>10</v>
      </c>
      <c r="BU5" s="91">
        <v>8</v>
      </c>
      <c r="BV5" s="91">
        <v>14</v>
      </c>
      <c r="BW5" s="91">
        <v>5</v>
      </c>
      <c r="BX5" s="91">
        <v>12</v>
      </c>
      <c r="BY5" s="91">
        <v>12</v>
      </c>
      <c r="BZ5" s="91">
        <v>9</v>
      </c>
      <c r="CA5" s="91">
        <v>17</v>
      </c>
      <c r="CB5" s="91">
        <v>6</v>
      </c>
      <c r="CC5" s="91">
        <v>16</v>
      </c>
      <c r="CD5" s="91">
        <v>12</v>
      </c>
      <c r="CE5" s="91">
        <v>11</v>
      </c>
      <c r="CF5" s="91">
        <v>11</v>
      </c>
      <c r="CG5" s="91">
        <v>6</v>
      </c>
      <c r="CH5" s="91">
        <v>11</v>
      </c>
      <c r="CI5" s="58">
        <v>6</v>
      </c>
      <c r="CJ5" s="58">
        <v>3</v>
      </c>
      <c r="CK5" s="58">
        <v>2</v>
      </c>
      <c r="CL5" s="58">
        <v>2</v>
      </c>
      <c r="CM5" s="62">
        <v>1</v>
      </c>
      <c r="CN5" s="62">
        <v>0</v>
      </c>
      <c r="CO5" s="62">
        <v>1</v>
      </c>
      <c r="CP5" s="62">
        <v>7</v>
      </c>
      <c r="CQ5" s="62">
        <v>7</v>
      </c>
      <c r="CR5" s="62">
        <v>8</v>
      </c>
      <c r="CS5" s="62">
        <v>5</v>
      </c>
      <c r="CT5" s="62">
        <v>4</v>
      </c>
      <c r="CU5" s="62">
        <v>2</v>
      </c>
      <c r="CV5" s="62">
        <v>3</v>
      </c>
      <c r="CW5" s="62">
        <v>3</v>
      </c>
      <c r="CX5" s="62">
        <v>0</v>
      </c>
      <c r="CY5" s="62">
        <v>0</v>
      </c>
      <c r="CZ5" s="62">
        <v>0</v>
      </c>
      <c r="DA5" s="62">
        <v>1</v>
      </c>
      <c r="DB5" s="62">
        <v>0</v>
      </c>
      <c r="DC5" s="62">
        <v>0</v>
      </c>
      <c r="DD5" s="62">
        <v>0</v>
      </c>
      <c r="DE5" s="62">
        <v>2</v>
      </c>
      <c r="DF5" s="62">
        <v>0</v>
      </c>
      <c r="DG5" s="62">
        <v>3</v>
      </c>
      <c r="DH5" s="62">
        <v>0</v>
      </c>
      <c r="DI5" s="62">
        <v>1</v>
      </c>
      <c r="DJ5" s="62">
        <v>0</v>
      </c>
      <c r="DK5" s="62">
        <v>1</v>
      </c>
      <c r="DL5" s="62">
        <v>0</v>
      </c>
      <c r="DM5" s="62">
        <v>1</v>
      </c>
      <c r="DN5" s="62">
        <v>0</v>
      </c>
      <c r="DO5" s="62">
        <v>0</v>
      </c>
      <c r="DP5" s="62">
        <v>2</v>
      </c>
      <c r="DQ5" s="62">
        <v>0</v>
      </c>
      <c r="DR5" s="62">
        <v>2</v>
      </c>
      <c r="DS5" s="62">
        <v>2</v>
      </c>
      <c r="DT5" s="62">
        <v>0</v>
      </c>
      <c r="DU5" s="62">
        <v>1</v>
      </c>
      <c r="DV5" s="62">
        <v>0</v>
      </c>
      <c r="DW5" s="62">
        <v>0</v>
      </c>
      <c r="DX5" s="62">
        <v>1</v>
      </c>
      <c r="DY5" s="62">
        <v>0</v>
      </c>
      <c r="DZ5" s="62">
        <v>0</v>
      </c>
      <c r="EA5" s="62">
        <v>1</v>
      </c>
      <c r="EB5" s="62">
        <v>0</v>
      </c>
      <c r="EC5" s="62">
        <v>2</v>
      </c>
      <c r="ED5" s="62">
        <v>1</v>
      </c>
      <c r="EE5" s="62">
        <v>4</v>
      </c>
      <c r="EF5" s="62">
        <v>1</v>
      </c>
      <c r="EG5" s="62">
        <v>0</v>
      </c>
      <c r="EH5" s="62">
        <v>1</v>
      </c>
      <c r="EI5" s="62">
        <v>2</v>
      </c>
      <c r="EJ5" s="62">
        <v>1</v>
      </c>
      <c r="EK5" s="62">
        <v>0</v>
      </c>
      <c r="EL5" s="62">
        <v>1</v>
      </c>
      <c r="EM5" s="62">
        <v>0</v>
      </c>
      <c r="EN5" s="62">
        <v>0</v>
      </c>
      <c r="EO5" s="62">
        <v>0</v>
      </c>
      <c r="EP5" s="62">
        <v>1</v>
      </c>
      <c r="EQ5" s="62">
        <v>0</v>
      </c>
      <c r="ER5" s="62">
        <v>1</v>
      </c>
      <c r="ES5" s="62">
        <v>2</v>
      </c>
      <c r="ET5" s="62">
        <v>1</v>
      </c>
      <c r="EU5" s="62">
        <v>0</v>
      </c>
      <c r="EV5" s="62">
        <v>0</v>
      </c>
      <c r="EW5" s="62">
        <v>1</v>
      </c>
      <c r="EX5" s="62">
        <v>0</v>
      </c>
      <c r="EY5" s="62">
        <v>0</v>
      </c>
      <c r="EZ5" s="62">
        <v>1</v>
      </c>
      <c r="FA5" s="62">
        <v>4</v>
      </c>
      <c r="FB5" s="62">
        <v>0</v>
      </c>
      <c r="FC5" s="62">
        <v>0</v>
      </c>
      <c r="FD5" s="62">
        <v>2</v>
      </c>
      <c r="FE5" s="62">
        <v>1</v>
      </c>
      <c r="FF5" s="62">
        <v>0</v>
      </c>
      <c r="FG5" s="62">
        <v>1</v>
      </c>
      <c r="FH5" s="62">
        <v>2</v>
      </c>
      <c r="FI5" s="62">
        <v>0</v>
      </c>
      <c r="FJ5" s="62">
        <v>0</v>
      </c>
      <c r="FK5" s="62">
        <v>3</v>
      </c>
      <c r="FL5" s="62">
        <v>1</v>
      </c>
      <c r="FM5" s="62">
        <v>3</v>
      </c>
      <c r="FN5" s="62">
        <v>7</v>
      </c>
      <c r="FO5" s="62">
        <v>2</v>
      </c>
    </row>
    <row r="6" spans="1:171" x14ac:dyDescent="0.3">
      <c r="A6" s="61" t="s">
        <v>189</v>
      </c>
      <c r="B6" s="61">
        <v>1</v>
      </c>
      <c r="C6" s="61">
        <v>0</v>
      </c>
      <c r="D6" s="61">
        <v>8</v>
      </c>
      <c r="E6" s="61">
        <v>9</v>
      </c>
      <c r="F6" s="61">
        <v>5</v>
      </c>
      <c r="G6" s="61">
        <v>3</v>
      </c>
      <c r="H6" s="61">
        <v>1</v>
      </c>
      <c r="I6" s="61">
        <v>3</v>
      </c>
      <c r="J6" s="61">
        <v>3</v>
      </c>
      <c r="K6" s="94">
        <v>3</v>
      </c>
      <c r="L6" s="94">
        <v>3</v>
      </c>
      <c r="M6" s="94">
        <v>0</v>
      </c>
      <c r="N6" s="94">
        <v>1</v>
      </c>
      <c r="O6" s="94">
        <v>0</v>
      </c>
      <c r="P6" s="94">
        <v>1</v>
      </c>
      <c r="Q6" s="94">
        <v>0</v>
      </c>
      <c r="R6" s="94">
        <v>0</v>
      </c>
      <c r="S6" s="94">
        <v>1</v>
      </c>
      <c r="T6" s="94">
        <v>2</v>
      </c>
      <c r="U6" s="94">
        <v>0</v>
      </c>
      <c r="V6" s="94">
        <v>0</v>
      </c>
      <c r="W6" s="94">
        <v>0</v>
      </c>
      <c r="X6" s="94">
        <v>0</v>
      </c>
      <c r="Y6" s="94">
        <v>0</v>
      </c>
      <c r="Z6" s="94">
        <v>1</v>
      </c>
      <c r="AA6" s="94">
        <v>0</v>
      </c>
      <c r="AB6" s="94">
        <v>0</v>
      </c>
      <c r="AC6" s="94">
        <v>1</v>
      </c>
      <c r="AD6" s="94">
        <v>0</v>
      </c>
      <c r="AE6" s="95">
        <v>1</v>
      </c>
      <c r="AF6" s="95">
        <v>0</v>
      </c>
      <c r="AG6" s="95">
        <v>0</v>
      </c>
      <c r="AH6" s="95">
        <v>2</v>
      </c>
      <c r="AI6" s="91">
        <v>1</v>
      </c>
      <c r="AJ6" s="91">
        <v>0</v>
      </c>
      <c r="AK6" s="91">
        <v>0</v>
      </c>
      <c r="AL6" s="91">
        <v>1</v>
      </c>
      <c r="AM6" s="91">
        <v>1</v>
      </c>
      <c r="AN6" s="91">
        <v>0</v>
      </c>
      <c r="AO6" s="91">
        <v>0</v>
      </c>
      <c r="AP6" s="91">
        <v>1</v>
      </c>
      <c r="AQ6" s="91">
        <v>1</v>
      </c>
      <c r="AR6" s="91">
        <v>0</v>
      </c>
      <c r="AS6" s="91">
        <v>1</v>
      </c>
      <c r="AT6" s="91">
        <v>0</v>
      </c>
      <c r="AU6" s="91">
        <v>0</v>
      </c>
      <c r="AV6" s="91">
        <v>1</v>
      </c>
      <c r="AW6" s="91">
        <v>1</v>
      </c>
      <c r="AX6" s="91">
        <v>0</v>
      </c>
      <c r="AY6" s="91">
        <v>0</v>
      </c>
      <c r="AZ6" s="91">
        <v>1</v>
      </c>
      <c r="BA6" s="91">
        <v>0</v>
      </c>
      <c r="BB6" s="91">
        <v>0</v>
      </c>
      <c r="BC6" s="91">
        <v>0</v>
      </c>
      <c r="BD6" s="91">
        <v>0</v>
      </c>
      <c r="BE6" s="91">
        <v>0</v>
      </c>
      <c r="BF6" s="91">
        <v>0</v>
      </c>
      <c r="BG6" s="91">
        <v>0</v>
      </c>
      <c r="BH6" s="91">
        <v>0</v>
      </c>
      <c r="BI6" s="91">
        <v>0</v>
      </c>
      <c r="BJ6" s="91">
        <v>1</v>
      </c>
      <c r="BK6" s="91">
        <v>0</v>
      </c>
      <c r="BL6" s="91">
        <v>1</v>
      </c>
      <c r="BM6" s="91">
        <v>0</v>
      </c>
      <c r="BN6" s="91">
        <v>0</v>
      </c>
      <c r="BO6" s="91">
        <v>1</v>
      </c>
      <c r="BP6" s="91">
        <v>1</v>
      </c>
      <c r="BQ6" s="91">
        <v>0</v>
      </c>
      <c r="BR6" s="91">
        <v>0</v>
      </c>
      <c r="BS6" s="91">
        <v>1</v>
      </c>
      <c r="BT6" s="91">
        <v>0</v>
      </c>
      <c r="BU6" s="91">
        <v>0</v>
      </c>
      <c r="BV6" s="91">
        <v>0</v>
      </c>
      <c r="BW6" s="91">
        <v>0</v>
      </c>
      <c r="BX6" s="91">
        <v>0</v>
      </c>
      <c r="BY6" s="91">
        <v>0</v>
      </c>
      <c r="BZ6" s="91">
        <v>2</v>
      </c>
      <c r="CA6" s="91">
        <v>1</v>
      </c>
      <c r="CB6" s="91">
        <v>0</v>
      </c>
      <c r="CC6" s="91">
        <v>0</v>
      </c>
      <c r="CD6" s="91">
        <v>1</v>
      </c>
      <c r="CE6" s="91">
        <v>0</v>
      </c>
      <c r="CF6" s="91">
        <v>0</v>
      </c>
      <c r="CG6" s="91">
        <v>0</v>
      </c>
      <c r="CH6" s="91">
        <v>1</v>
      </c>
      <c r="CI6" s="58">
        <v>1</v>
      </c>
      <c r="CJ6" s="58">
        <v>0</v>
      </c>
      <c r="CK6" s="58">
        <v>1</v>
      </c>
      <c r="CL6" s="58">
        <v>0</v>
      </c>
      <c r="CM6" s="62">
        <v>0</v>
      </c>
      <c r="CN6" s="62">
        <v>0</v>
      </c>
      <c r="CO6" s="62">
        <v>0</v>
      </c>
      <c r="CP6" s="62">
        <v>0</v>
      </c>
      <c r="CQ6" s="62">
        <v>0</v>
      </c>
      <c r="CR6" s="62">
        <v>0</v>
      </c>
      <c r="CS6" s="62">
        <v>1</v>
      </c>
      <c r="CT6" s="62">
        <v>2</v>
      </c>
      <c r="CU6" s="62">
        <v>0</v>
      </c>
      <c r="CV6" s="62">
        <v>0</v>
      </c>
      <c r="CW6" s="62">
        <v>1</v>
      </c>
      <c r="CX6" s="62">
        <v>1</v>
      </c>
      <c r="CY6" s="62">
        <v>0</v>
      </c>
      <c r="CZ6" s="62">
        <v>0</v>
      </c>
      <c r="DA6" s="62">
        <v>0</v>
      </c>
      <c r="DB6" s="62">
        <v>0</v>
      </c>
      <c r="DC6" s="62">
        <v>1</v>
      </c>
      <c r="DD6" s="62">
        <v>0</v>
      </c>
      <c r="DE6" s="62">
        <v>0</v>
      </c>
      <c r="DF6" s="62">
        <v>0</v>
      </c>
      <c r="DG6" s="62">
        <v>0</v>
      </c>
      <c r="DH6" s="62">
        <v>0</v>
      </c>
      <c r="DI6" s="62">
        <v>0</v>
      </c>
      <c r="DJ6" s="62">
        <v>0</v>
      </c>
      <c r="DK6" s="62">
        <v>0</v>
      </c>
      <c r="DL6" s="62">
        <v>0</v>
      </c>
      <c r="DM6" s="62">
        <v>0</v>
      </c>
      <c r="DN6" s="62">
        <v>0</v>
      </c>
      <c r="DO6" s="62">
        <v>0</v>
      </c>
      <c r="DP6" s="62">
        <v>1</v>
      </c>
      <c r="DQ6" s="62">
        <v>3</v>
      </c>
      <c r="DR6" s="62">
        <v>0</v>
      </c>
      <c r="DS6" s="62">
        <v>0</v>
      </c>
      <c r="DT6" s="62">
        <v>0</v>
      </c>
      <c r="DU6" s="62">
        <v>0</v>
      </c>
      <c r="DV6" s="62">
        <v>0</v>
      </c>
      <c r="DW6" s="62">
        <v>0</v>
      </c>
      <c r="DX6" s="62">
        <v>1</v>
      </c>
      <c r="DY6" s="62">
        <v>1</v>
      </c>
      <c r="DZ6" s="62">
        <v>1</v>
      </c>
      <c r="EA6" s="62">
        <v>2</v>
      </c>
      <c r="EB6" s="62">
        <v>0</v>
      </c>
      <c r="EC6" s="62">
        <v>0</v>
      </c>
      <c r="ED6" s="62">
        <v>0</v>
      </c>
      <c r="EE6" s="62">
        <v>0</v>
      </c>
      <c r="EF6" s="62">
        <v>0</v>
      </c>
      <c r="EG6" s="62">
        <v>0</v>
      </c>
      <c r="EH6" s="62">
        <v>0</v>
      </c>
      <c r="EI6" s="62">
        <v>0</v>
      </c>
      <c r="EJ6" s="62">
        <v>1</v>
      </c>
      <c r="EK6" s="62">
        <v>0</v>
      </c>
      <c r="EL6" s="62">
        <v>0</v>
      </c>
      <c r="EM6" s="62">
        <v>0</v>
      </c>
      <c r="EN6" s="62">
        <v>0</v>
      </c>
      <c r="EO6" s="62">
        <v>0</v>
      </c>
      <c r="EP6" s="62">
        <v>0</v>
      </c>
      <c r="EQ6" s="62">
        <v>0</v>
      </c>
      <c r="ER6" s="62">
        <v>1</v>
      </c>
      <c r="ES6" s="62">
        <v>2</v>
      </c>
      <c r="ET6" s="62">
        <v>0</v>
      </c>
      <c r="EU6" s="62">
        <v>2</v>
      </c>
      <c r="EV6" s="62">
        <v>1</v>
      </c>
      <c r="EW6" s="62">
        <v>2</v>
      </c>
      <c r="EX6" s="62">
        <v>2</v>
      </c>
      <c r="EY6" s="62">
        <v>0</v>
      </c>
      <c r="EZ6" s="62">
        <v>0</v>
      </c>
      <c r="FA6" s="62">
        <v>0</v>
      </c>
      <c r="FB6" s="62">
        <v>1</v>
      </c>
      <c r="FC6" s="62">
        <v>0</v>
      </c>
      <c r="FD6" s="62">
        <v>1</v>
      </c>
      <c r="FE6" s="62">
        <v>0</v>
      </c>
      <c r="FF6" s="62">
        <v>0</v>
      </c>
      <c r="FG6" s="62">
        <v>0</v>
      </c>
      <c r="FH6" s="62">
        <v>1</v>
      </c>
      <c r="FI6" s="62">
        <v>0</v>
      </c>
      <c r="FJ6" s="62">
        <v>0</v>
      </c>
      <c r="FK6" s="62">
        <v>5</v>
      </c>
      <c r="FL6" s="62">
        <v>4</v>
      </c>
      <c r="FM6" s="62">
        <v>3</v>
      </c>
      <c r="FN6" s="62">
        <v>1</v>
      </c>
      <c r="FO6" s="62">
        <v>1</v>
      </c>
    </row>
    <row r="7" spans="1:171" x14ac:dyDescent="0.3">
      <c r="A7" s="61" t="s">
        <v>190</v>
      </c>
      <c r="B7" s="61">
        <v>10</v>
      </c>
      <c r="C7" s="61">
        <v>16</v>
      </c>
      <c r="D7" s="61">
        <v>15</v>
      </c>
      <c r="E7" s="61">
        <v>12</v>
      </c>
      <c r="F7" s="61">
        <v>10</v>
      </c>
      <c r="G7" s="61">
        <v>13</v>
      </c>
      <c r="H7" s="61">
        <v>6</v>
      </c>
      <c r="I7" s="61">
        <v>12</v>
      </c>
      <c r="J7" s="61">
        <v>9</v>
      </c>
      <c r="K7" s="91">
        <v>15</v>
      </c>
      <c r="L7" s="91">
        <v>9</v>
      </c>
      <c r="M7" s="91">
        <v>11</v>
      </c>
      <c r="N7" s="91">
        <v>9</v>
      </c>
      <c r="O7" s="91">
        <v>7</v>
      </c>
      <c r="P7" s="91">
        <v>5</v>
      </c>
      <c r="Q7" s="91">
        <v>16</v>
      </c>
      <c r="R7" s="91">
        <v>7</v>
      </c>
      <c r="S7" s="91">
        <v>5</v>
      </c>
      <c r="T7" s="91">
        <v>4</v>
      </c>
      <c r="U7" s="91">
        <v>11</v>
      </c>
      <c r="V7" s="91">
        <v>5</v>
      </c>
      <c r="W7" s="91">
        <v>3</v>
      </c>
      <c r="X7" s="91">
        <v>10</v>
      </c>
      <c r="Y7" s="91">
        <v>12</v>
      </c>
      <c r="Z7" s="91">
        <v>6</v>
      </c>
      <c r="AA7" s="91">
        <v>3</v>
      </c>
      <c r="AB7" s="91">
        <v>7</v>
      </c>
      <c r="AC7" s="91">
        <v>8</v>
      </c>
      <c r="AD7" s="91">
        <v>13</v>
      </c>
      <c r="AE7" s="91">
        <v>4</v>
      </c>
      <c r="AF7" s="91">
        <v>3</v>
      </c>
      <c r="AG7" s="91">
        <v>8</v>
      </c>
      <c r="AH7" s="91">
        <v>6</v>
      </c>
      <c r="AI7" s="91">
        <v>3</v>
      </c>
      <c r="AJ7" s="91">
        <v>4</v>
      </c>
      <c r="AK7" s="91">
        <v>11</v>
      </c>
      <c r="AL7" s="91">
        <v>0</v>
      </c>
      <c r="AM7" s="91">
        <v>0</v>
      </c>
      <c r="AN7" s="91">
        <v>0</v>
      </c>
      <c r="AO7" s="91">
        <v>1</v>
      </c>
      <c r="AP7" s="91">
        <v>1</v>
      </c>
      <c r="AQ7" s="91">
        <v>0</v>
      </c>
      <c r="AR7" s="91">
        <v>11</v>
      </c>
      <c r="AS7" s="91">
        <v>6</v>
      </c>
      <c r="AT7" s="91">
        <v>8</v>
      </c>
      <c r="AU7" s="91">
        <v>4</v>
      </c>
      <c r="AV7" s="91">
        <v>9</v>
      </c>
      <c r="AW7" s="91">
        <v>3</v>
      </c>
      <c r="AX7" s="91">
        <v>8</v>
      </c>
      <c r="AY7" s="91">
        <v>7</v>
      </c>
      <c r="AZ7" s="91">
        <v>16</v>
      </c>
      <c r="BA7" s="91">
        <v>1</v>
      </c>
      <c r="BB7" s="91">
        <v>1</v>
      </c>
      <c r="BC7" s="91">
        <v>15</v>
      </c>
      <c r="BD7" s="91">
        <v>17</v>
      </c>
      <c r="BE7" s="91">
        <v>9</v>
      </c>
      <c r="BF7" s="91">
        <v>14</v>
      </c>
      <c r="BG7" s="91">
        <v>43</v>
      </c>
      <c r="BH7" s="91">
        <v>18</v>
      </c>
      <c r="BI7" s="91">
        <v>15</v>
      </c>
      <c r="BJ7" s="91">
        <v>4</v>
      </c>
      <c r="BK7" s="91">
        <v>28</v>
      </c>
      <c r="BL7" s="91">
        <v>22</v>
      </c>
      <c r="BM7" s="91">
        <v>24</v>
      </c>
      <c r="BN7" s="91">
        <v>19</v>
      </c>
      <c r="BO7" s="91">
        <v>12</v>
      </c>
      <c r="BP7" s="91">
        <v>39</v>
      </c>
      <c r="BQ7" s="91">
        <v>22</v>
      </c>
      <c r="BR7" s="91">
        <v>15</v>
      </c>
      <c r="BS7" s="91">
        <v>13</v>
      </c>
      <c r="BT7" s="91">
        <v>19</v>
      </c>
      <c r="BU7" s="91">
        <v>23</v>
      </c>
      <c r="BV7" s="91">
        <v>28</v>
      </c>
      <c r="BW7" s="91">
        <v>10</v>
      </c>
      <c r="BX7" s="91">
        <v>17</v>
      </c>
      <c r="BY7" s="91">
        <v>28</v>
      </c>
      <c r="BZ7" s="91">
        <v>13</v>
      </c>
      <c r="CA7" s="91">
        <v>13</v>
      </c>
      <c r="CB7" s="91">
        <v>8</v>
      </c>
      <c r="CC7" s="91">
        <v>20</v>
      </c>
      <c r="CD7" s="91">
        <v>13</v>
      </c>
      <c r="CE7" s="91">
        <v>5</v>
      </c>
      <c r="CF7" s="91">
        <v>5</v>
      </c>
      <c r="CG7" s="91">
        <v>9</v>
      </c>
      <c r="CH7" s="91">
        <v>11</v>
      </c>
      <c r="CI7" s="58">
        <v>4</v>
      </c>
      <c r="CJ7" s="58">
        <v>1</v>
      </c>
      <c r="CK7" s="58">
        <v>3</v>
      </c>
      <c r="CL7" s="58">
        <v>2</v>
      </c>
      <c r="CM7" s="62">
        <v>2</v>
      </c>
      <c r="CN7" s="62">
        <v>1</v>
      </c>
      <c r="CO7" s="62">
        <v>0</v>
      </c>
      <c r="CP7" s="62">
        <v>21</v>
      </c>
      <c r="CQ7" s="62">
        <v>11</v>
      </c>
      <c r="CR7" s="62">
        <v>9</v>
      </c>
      <c r="CS7" s="62">
        <v>7</v>
      </c>
      <c r="CT7" s="62">
        <v>12</v>
      </c>
      <c r="CU7" s="62">
        <v>12</v>
      </c>
      <c r="CV7" s="62">
        <v>12</v>
      </c>
      <c r="CW7" s="62">
        <v>5</v>
      </c>
      <c r="CX7" s="62">
        <v>13</v>
      </c>
      <c r="CY7" s="62">
        <v>11</v>
      </c>
      <c r="CZ7" s="62">
        <v>24</v>
      </c>
      <c r="DA7" s="62">
        <v>30</v>
      </c>
      <c r="DB7" s="62">
        <v>32</v>
      </c>
      <c r="DC7" s="62">
        <v>17</v>
      </c>
      <c r="DD7" s="62">
        <v>16</v>
      </c>
      <c r="DE7" s="62">
        <v>5</v>
      </c>
      <c r="DF7" s="62">
        <v>6</v>
      </c>
      <c r="DG7" s="62">
        <v>17</v>
      </c>
      <c r="DH7" s="62">
        <v>16</v>
      </c>
      <c r="DI7" s="62">
        <v>18</v>
      </c>
      <c r="DJ7" s="62">
        <v>10</v>
      </c>
      <c r="DK7" s="62">
        <v>27</v>
      </c>
      <c r="DL7" s="62">
        <v>40</v>
      </c>
      <c r="DM7" s="62">
        <v>29</v>
      </c>
      <c r="DN7" s="62">
        <v>16</v>
      </c>
      <c r="DO7" s="62">
        <v>9</v>
      </c>
      <c r="DP7" s="62">
        <v>33</v>
      </c>
      <c r="DQ7" s="62">
        <v>23</v>
      </c>
      <c r="DR7" s="62">
        <v>11</v>
      </c>
      <c r="DS7" s="62">
        <v>12</v>
      </c>
      <c r="DT7" s="62">
        <v>16</v>
      </c>
      <c r="DU7" s="62">
        <v>18</v>
      </c>
      <c r="DV7" s="62">
        <v>20</v>
      </c>
      <c r="DW7" s="62">
        <v>14</v>
      </c>
      <c r="DX7" s="62">
        <v>17</v>
      </c>
      <c r="DY7" s="62">
        <v>37</v>
      </c>
      <c r="DZ7" s="62">
        <v>31</v>
      </c>
      <c r="EA7" s="62">
        <v>16</v>
      </c>
      <c r="EB7" s="62">
        <v>12</v>
      </c>
      <c r="EC7" s="62">
        <v>19</v>
      </c>
      <c r="ED7" s="62">
        <v>21</v>
      </c>
      <c r="EE7" s="62">
        <v>15</v>
      </c>
      <c r="EF7" s="62">
        <v>6</v>
      </c>
      <c r="EG7" s="62">
        <v>15</v>
      </c>
      <c r="EH7" s="62">
        <v>37</v>
      </c>
      <c r="EI7" s="62">
        <v>0</v>
      </c>
      <c r="EJ7" s="62">
        <v>1</v>
      </c>
      <c r="EK7" s="62">
        <v>2</v>
      </c>
      <c r="EL7" s="62">
        <v>6</v>
      </c>
      <c r="EM7" s="62">
        <v>2</v>
      </c>
      <c r="EN7" s="62">
        <v>0</v>
      </c>
      <c r="EO7" s="62">
        <v>2</v>
      </c>
      <c r="EP7" s="62">
        <v>15</v>
      </c>
      <c r="EQ7" s="62">
        <v>16</v>
      </c>
      <c r="ER7" s="62">
        <v>32</v>
      </c>
      <c r="ES7" s="62">
        <v>12</v>
      </c>
      <c r="ET7" s="62">
        <v>18</v>
      </c>
      <c r="EU7" s="62">
        <v>35</v>
      </c>
      <c r="EV7" s="62">
        <v>29</v>
      </c>
      <c r="EW7" s="62">
        <v>12</v>
      </c>
      <c r="EX7" s="62">
        <v>25</v>
      </c>
      <c r="EY7" s="62">
        <v>23</v>
      </c>
      <c r="EZ7" s="62">
        <v>22</v>
      </c>
      <c r="FA7" s="62">
        <v>8</v>
      </c>
      <c r="FB7" s="62">
        <v>10</v>
      </c>
      <c r="FC7" s="62">
        <v>5</v>
      </c>
      <c r="FD7" s="62">
        <v>43</v>
      </c>
      <c r="FE7" s="62">
        <v>36</v>
      </c>
      <c r="FF7" s="62">
        <v>12</v>
      </c>
      <c r="FG7" s="62">
        <v>25</v>
      </c>
      <c r="FH7" s="62">
        <v>25</v>
      </c>
      <c r="FI7" s="62">
        <v>25</v>
      </c>
      <c r="FJ7" s="62">
        <v>10</v>
      </c>
      <c r="FK7" s="62">
        <v>5</v>
      </c>
      <c r="FL7" s="62">
        <v>37</v>
      </c>
      <c r="FM7" s="62">
        <v>28</v>
      </c>
      <c r="FN7" s="62">
        <v>10</v>
      </c>
      <c r="FO7" s="62">
        <v>2</v>
      </c>
    </row>
    <row r="8" spans="1:171" x14ac:dyDescent="0.3">
      <c r="A8" s="61" t="s">
        <v>191</v>
      </c>
      <c r="B8" s="61"/>
      <c r="C8" s="61">
        <v>0</v>
      </c>
      <c r="D8" s="61">
        <v>0</v>
      </c>
      <c r="E8" s="61">
        <v>0</v>
      </c>
      <c r="F8" s="61">
        <v>0</v>
      </c>
      <c r="G8" s="61">
        <v>1</v>
      </c>
      <c r="H8" s="61">
        <v>0</v>
      </c>
      <c r="I8" s="61">
        <v>0</v>
      </c>
      <c r="J8" s="61">
        <v>0</v>
      </c>
      <c r="K8" s="91">
        <v>0</v>
      </c>
      <c r="L8" s="91">
        <v>0</v>
      </c>
      <c r="M8" s="91">
        <v>1</v>
      </c>
      <c r="N8" s="91">
        <v>0</v>
      </c>
      <c r="O8" s="91">
        <v>0</v>
      </c>
      <c r="P8" s="91">
        <v>0</v>
      </c>
      <c r="Q8" s="91">
        <v>1</v>
      </c>
      <c r="R8" s="91">
        <v>2</v>
      </c>
      <c r="S8" s="91">
        <v>0</v>
      </c>
      <c r="T8" s="91">
        <v>0</v>
      </c>
      <c r="U8" s="91">
        <v>0</v>
      </c>
      <c r="V8" s="91">
        <v>0</v>
      </c>
      <c r="W8" s="91">
        <v>0</v>
      </c>
      <c r="X8" s="91">
        <v>0</v>
      </c>
      <c r="Y8" s="91">
        <v>0</v>
      </c>
      <c r="Z8" s="91">
        <v>0</v>
      </c>
      <c r="AA8" s="91">
        <v>3</v>
      </c>
      <c r="AB8" s="91">
        <v>10</v>
      </c>
      <c r="AC8" s="91">
        <v>0</v>
      </c>
      <c r="AD8" s="91">
        <v>2</v>
      </c>
      <c r="AE8" s="91">
        <v>0</v>
      </c>
      <c r="AF8" s="91">
        <v>0</v>
      </c>
      <c r="AG8" s="91">
        <v>6</v>
      </c>
      <c r="AH8" s="91">
        <v>0</v>
      </c>
      <c r="AI8" s="91">
        <v>0</v>
      </c>
      <c r="AJ8" s="91">
        <v>0</v>
      </c>
      <c r="AK8" s="91">
        <v>1</v>
      </c>
      <c r="AL8" s="91">
        <v>0</v>
      </c>
      <c r="AM8" s="91">
        <v>0</v>
      </c>
      <c r="AN8" s="91">
        <v>0</v>
      </c>
      <c r="AO8" s="91">
        <v>0</v>
      </c>
      <c r="AP8" s="91">
        <v>0</v>
      </c>
      <c r="AQ8" s="91">
        <v>3</v>
      </c>
      <c r="AR8" s="91">
        <v>1</v>
      </c>
      <c r="AS8" s="91">
        <v>7</v>
      </c>
      <c r="AT8" s="91">
        <v>6</v>
      </c>
      <c r="AU8" s="91">
        <v>0</v>
      </c>
      <c r="AV8" s="91">
        <v>0</v>
      </c>
      <c r="AW8" s="91">
        <v>0</v>
      </c>
      <c r="AX8" s="91">
        <v>0</v>
      </c>
      <c r="AY8" s="91">
        <v>1</v>
      </c>
      <c r="AZ8" s="91">
        <v>3</v>
      </c>
      <c r="BA8" s="91">
        <v>2</v>
      </c>
      <c r="BB8" s="91">
        <v>0</v>
      </c>
      <c r="BC8" s="91">
        <v>3</v>
      </c>
      <c r="BD8" s="91">
        <v>0</v>
      </c>
      <c r="BE8" s="91">
        <v>1</v>
      </c>
      <c r="BF8" s="91">
        <v>1</v>
      </c>
      <c r="BG8" s="91">
        <v>1</v>
      </c>
      <c r="BH8" s="91">
        <v>6</v>
      </c>
      <c r="BI8" s="91">
        <v>3</v>
      </c>
      <c r="BJ8" s="91">
        <v>0</v>
      </c>
      <c r="BK8" s="91">
        <v>1</v>
      </c>
      <c r="BL8" s="91">
        <v>0</v>
      </c>
      <c r="BM8" s="91">
        <v>1</v>
      </c>
      <c r="BN8" s="91">
        <v>2</v>
      </c>
      <c r="BO8" s="91">
        <v>1</v>
      </c>
      <c r="BP8" s="91">
        <v>0</v>
      </c>
      <c r="BQ8" s="91">
        <v>0</v>
      </c>
      <c r="BR8" s="91">
        <v>2</v>
      </c>
      <c r="BS8" s="91">
        <v>2</v>
      </c>
      <c r="BT8" s="91">
        <v>3</v>
      </c>
      <c r="BU8" s="91">
        <v>0</v>
      </c>
      <c r="BV8" s="91">
        <v>3</v>
      </c>
      <c r="BW8" s="91">
        <v>1</v>
      </c>
      <c r="BX8" s="91">
        <v>4</v>
      </c>
      <c r="BY8" s="91">
        <v>1</v>
      </c>
      <c r="BZ8" s="91">
        <v>1</v>
      </c>
      <c r="CA8" s="91">
        <v>1</v>
      </c>
      <c r="CB8" s="91">
        <v>10</v>
      </c>
      <c r="CC8" s="91">
        <v>2</v>
      </c>
      <c r="CD8" s="91">
        <v>2</v>
      </c>
      <c r="CE8" s="91">
        <v>3</v>
      </c>
      <c r="CF8" s="91">
        <v>3</v>
      </c>
      <c r="CG8" s="91">
        <v>1</v>
      </c>
      <c r="CH8" s="91">
        <v>2</v>
      </c>
      <c r="CI8" s="58">
        <v>1</v>
      </c>
      <c r="CJ8" s="58">
        <v>1</v>
      </c>
      <c r="CK8" s="58">
        <v>0</v>
      </c>
      <c r="CL8" s="58">
        <v>5</v>
      </c>
      <c r="CM8" s="62">
        <v>1</v>
      </c>
      <c r="CN8" s="62">
        <v>0</v>
      </c>
      <c r="CO8" s="62">
        <v>0</v>
      </c>
      <c r="CP8" s="62">
        <v>2</v>
      </c>
      <c r="CQ8" s="62">
        <v>4</v>
      </c>
      <c r="CR8" s="62">
        <v>0</v>
      </c>
      <c r="CS8" s="62">
        <v>1</v>
      </c>
      <c r="CT8" s="62">
        <v>4</v>
      </c>
      <c r="CU8" s="62">
        <v>0</v>
      </c>
      <c r="CV8" s="62">
        <v>3</v>
      </c>
      <c r="CW8" s="62">
        <v>1</v>
      </c>
      <c r="CX8" s="62">
        <v>3</v>
      </c>
      <c r="CY8" s="62">
        <v>2</v>
      </c>
      <c r="CZ8" s="62">
        <v>5</v>
      </c>
      <c r="DA8" s="62">
        <v>3</v>
      </c>
      <c r="DB8" s="62">
        <v>0</v>
      </c>
      <c r="DC8" s="62">
        <v>2</v>
      </c>
      <c r="DD8" s="62">
        <v>1</v>
      </c>
      <c r="DE8" s="62">
        <v>1</v>
      </c>
      <c r="DF8" s="62">
        <v>3</v>
      </c>
      <c r="DG8" s="62">
        <v>2</v>
      </c>
      <c r="DH8" s="62">
        <v>4</v>
      </c>
      <c r="DI8" s="62">
        <v>3</v>
      </c>
      <c r="DJ8" s="62">
        <v>0</v>
      </c>
      <c r="DK8" s="62">
        <v>2</v>
      </c>
      <c r="DL8" s="62">
        <v>3</v>
      </c>
      <c r="DM8" s="62">
        <v>0</v>
      </c>
      <c r="DN8" s="62">
        <v>2</v>
      </c>
      <c r="DO8" s="62">
        <v>1</v>
      </c>
      <c r="DP8" s="62">
        <v>7</v>
      </c>
      <c r="DQ8" s="62">
        <v>3</v>
      </c>
      <c r="DR8" s="62">
        <v>4</v>
      </c>
      <c r="DS8" s="62">
        <v>3</v>
      </c>
      <c r="DT8" s="62">
        <v>1</v>
      </c>
      <c r="DU8" s="62">
        <v>2</v>
      </c>
      <c r="DV8" s="62">
        <v>3</v>
      </c>
      <c r="DW8" s="62">
        <v>0</v>
      </c>
      <c r="DX8" s="62">
        <v>3</v>
      </c>
      <c r="DY8" s="62">
        <v>3</v>
      </c>
      <c r="DZ8" s="62">
        <v>5</v>
      </c>
      <c r="EA8" s="62">
        <v>5</v>
      </c>
      <c r="EB8" s="62">
        <v>3</v>
      </c>
      <c r="EC8" s="62">
        <v>2</v>
      </c>
      <c r="ED8" s="62">
        <v>5</v>
      </c>
      <c r="EE8" s="62">
        <v>4</v>
      </c>
      <c r="EF8" s="62">
        <v>3</v>
      </c>
      <c r="EG8" s="62">
        <v>2</v>
      </c>
      <c r="EH8" s="62">
        <v>4</v>
      </c>
      <c r="EI8" s="62">
        <v>3</v>
      </c>
      <c r="EJ8" s="62">
        <v>0</v>
      </c>
      <c r="EK8" s="62">
        <v>3</v>
      </c>
      <c r="EL8" s="62">
        <v>0</v>
      </c>
      <c r="EM8" s="62">
        <v>0</v>
      </c>
      <c r="EN8" s="62">
        <v>1</v>
      </c>
      <c r="EO8" s="62">
        <v>0</v>
      </c>
      <c r="EP8" s="62">
        <v>6</v>
      </c>
      <c r="EQ8" s="62">
        <v>2</v>
      </c>
      <c r="ER8" s="62">
        <v>0</v>
      </c>
      <c r="ES8" s="62">
        <v>6</v>
      </c>
      <c r="ET8" s="62">
        <v>1</v>
      </c>
      <c r="EU8" s="62">
        <v>6</v>
      </c>
      <c r="EV8" s="62">
        <v>1</v>
      </c>
      <c r="EW8" s="62">
        <v>5</v>
      </c>
      <c r="EX8" s="62">
        <v>5</v>
      </c>
      <c r="EY8" s="62">
        <v>3</v>
      </c>
      <c r="EZ8" s="62">
        <v>2</v>
      </c>
      <c r="FA8" s="62">
        <v>4</v>
      </c>
      <c r="FB8" s="62">
        <v>2</v>
      </c>
      <c r="FC8" s="62">
        <v>3</v>
      </c>
      <c r="FD8" s="62">
        <v>4</v>
      </c>
      <c r="FE8" s="62">
        <v>5</v>
      </c>
      <c r="FF8" s="62">
        <v>1</v>
      </c>
      <c r="FG8" s="62">
        <v>2</v>
      </c>
      <c r="FH8" s="62">
        <v>1</v>
      </c>
      <c r="FI8" s="62">
        <v>6</v>
      </c>
      <c r="FJ8" s="62">
        <v>3</v>
      </c>
      <c r="FK8" s="62">
        <v>6</v>
      </c>
      <c r="FL8" s="62">
        <v>1</v>
      </c>
      <c r="FM8" s="62">
        <v>2</v>
      </c>
      <c r="FN8" s="62">
        <v>6</v>
      </c>
      <c r="FO8" s="62">
        <v>7</v>
      </c>
    </row>
    <row r="9" spans="1:171" x14ac:dyDescent="0.3">
      <c r="A9" s="61" t="s">
        <v>98</v>
      </c>
      <c r="B9" s="61">
        <f>SUM(B3:B8)</f>
        <v>11</v>
      </c>
      <c r="C9" s="61">
        <f t="shared" ref="C9:AH9" si="0">SUM(C4:C8)</f>
        <v>19</v>
      </c>
      <c r="D9" s="61">
        <f t="shared" si="0"/>
        <v>30</v>
      </c>
      <c r="E9" s="61">
        <f t="shared" si="0"/>
        <v>29</v>
      </c>
      <c r="F9" s="61">
        <f t="shared" si="0"/>
        <v>17</v>
      </c>
      <c r="G9" s="61">
        <f t="shared" si="0"/>
        <v>20</v>
      </c>
      <c r="H9" s="61">
        <f t="shared" si="0"/>
        <v>14</v>
      </c>
      <c r="I9" s="61">
        <f t="shared" si="0"/>
        <v>17</v>
      </c>
      <c r="J9" s="61">
        <f t="shared" si="0"/>
        <v>15</v>
      </c>
      <c r="K9" s="61">
        <f t="shared" si="0"/>
        <v>25</v>
      </c>
      <c r="L9" s="61">
        <f t="shared" si="0"/>
        <v>24</v>
      </c>
      <c r="M9" s="61">
        <f t="shared" si="0"/>
        <v>21</v>
      </c>
      <c r="N9" s="61">
        <f t="shared" si="0"/>
        <v>16</v>
      </c>
      <c r="O9" s="61">
        <f t="shared" si="0"/>
        <v>12</v>
      </c>
      <c r="P9" s="61">
        <f t="shared" si="0"/>
        <v>12</v>
      </c>
      <c r="Q9" s="61">
        <f t="shared" si="0"/>
        <v>21</v>
      </c>
      <c r="R9" s="61">
        <f t="shared" si="0"/>
        <v>14</v>
      </c>
      <c r="S9" s="61">
        <f t="shared" si="0"/>
        <v>7</v>
      </c>
      <c r="T9" s="61">
        <f t="shared" si="0"/>
        <v>10</v>
      </c>
      <c r="U9" s="61">
        <f t="shared" si="0"/>
        <v>17</v>
      </c>
      <c r="V9" s="61">
        <f t="shared" si="0"/>
        <v>10</v>
      </c>
      <c r="W9" s="61">
        <f t="shared" si="0"/>
        <v>9</v>
      </c>
      <c r="X9" s="61">
        <f t="shared" si="0"/>
        <v>10</v>
      </c>
      <c r="Y9" s="61">
        <f t="shared" si="0"/>
        <v>21</v>
      </c>
      <c r="Z9" s="61">
        <f t="shared" si="0"/>
        <v>8</v>
      </c>
      <c r="AA9" s="61">
        <f t="shared" si="0"/>
        <v>12</v>
      </c>
      <c r="AB9" s="61">
        <f t="shared" si="0"/>
        <v>23</v>
      </c>
      <c r="AC9" s="61">
        <f t="shared" si="0"/>
        <v>24</v>
      </c>
      <c r="AD9" s="61">
        <f t="shared" si="0"/>
        <v>25</v>
      </c>
      <c r="AE9" s="61">
        <f t="shared" si="0"/>
        <v>24</v>
      </c>
      <c r="AF9" s="61">
        <f t="shared" si="0"/>
        <v>15</v>
      </c>
      <c r="AG9" s="61">
        <f t="shared" si="0"/>
        <v>22</v>
      </c>
      <c r="AH9" s="61">
        <f t="shared" si="0"/>
        <v>24</v>
      </c>
      <c r="AI9" s="61">
        <f t="shared" ref="AI9:BE9" si="1">SUM(AI4:AI8)</f>
        <v>10</v>
      </c>
      <c r="AJ9" s="61">
        <f t="shared" si="1"/>
        <v>25</v>
      </c>
      <c r="AK9" s="61">
        <f t="shared" si="1"/>
        <v>25</v>
      </c>
      <c r="AL9" s="61">
        <f t="shared" si="1"/>
        <v>20</v>
      </c>
      <c r="AM9" s="61">
        <f t="shared" si="1"/>
        <v>12</v>
      </c>
      <c r="AN9" s="61">
        <f t="shared" si="1"/>
        <v>7</v>
      </c>
      <c r="AO9" s="61">
        <f t="shared" si="1"/>
        <v>17</v>
      </c>
      <c r="AP9" s="61">
        <f t="shared" si="1"/>
        <v>22</v>
      </c>
      <c r="AQ9" s="61">
        <f t="shared" si="1"/>
        <v>24</v>
      </c>
      <c r="AR9" s="61">
        <f t="shared" si="1"/>
        <v>31</v>
      </c>
      <c r="AS9" s="61">
        <f t="shared" si="1"/>
        <v>29</v>
      </c>
      <c r="AT9" s="61">
        <f t="shared" si="1"/>
        <v>34</v>
      </c>
      <c r="AU9" s="61">
        <f t="shared" si="1"/>
        <v>26</v>
      </c>
      <c r="AV9" s="61">
        <f t="shared" si="1"/>
        <v>37</v>
      </c>
      <c r="AW9" s="61">
        <f t="shared" si="1"/>
        <v>33</v>
      </c>
      <c r="AX9" s="61">
        <f t="shared" si="1"/>
        <v>41</v>
      </c>
      <c r="AY9" s="61">
        <f t="shared" si="1"/>
        <v>28</v>
      </c>
      <c r="AZ9" s="61">
        <f t="shared" si="1"/>
        <v>67</v>
      </c>
      <c r="BA9" s="61">
        <f t="shared" si="1"/>
        <v>42</v>
      </c>
      <c r="BB9" s="61">
        <f t="shared" si="1"/>
        <v>11</v>
      </c>
      <c r="BC9" s="61">
        <f t="shared" si="1"/>
        <v>47</v>
      </c>
      <c r="BD9" s="61">
        <f t="shared" si="1"/>
        <v>47</v>
      </c>
      <c r="BE9" s="61">
        <f t="shared" si="1"/>
        <v>22</v>
      </c>
      <c r="BF9" s="91">
        <v>42</v>
      </c>
      <c r="BG9" s="91">
        <v>62</v>
      </c>
      <c r="BH9" s="91">
        <v>45</v>
      </c>
      <c r="BI9" s="91">
        <v>43</v>
      </c>
      <c r="BJ9" s="91">
        <v>42</v>
      </c>
      <c r="BK9" s="91">
        <v>38</v>
      </c>
      <c r="BL9" s="91">
        <v>28</v>
      </c>
      <c r="BM9" s="91">
        <v>31</v>
      </c>
      <c r="BN9" s="97">
        <f>SUM(BN4:BN8)</f>
        <v>29</v>
      </c>
      <c r="BO9" s="101">
        <f>SUM(BO4:BO8)</f>
        <v>18</v>
      </c>
      <c r="BP9" s="101">
        <f>SUM(BP4:BP8)</f>
        <v>44</v>
      </c>
      <c r="BQ9" s="101">
        <f>SUM(BQ4:BQ8)</f>
        <v>30</v>
      </c>
      <c r="BR9" s="97">
        <v>25</v>
      </c>
      <c r="BS9" s="97">
        <v>24</v>
      </c>
      <c r="BT9" s="97">
        <v>32</v>
      </c>
      <c r="BU9" s="97">
        <v>32</v>
      </c>
      <c r="BV9" s="97">
        <v>46</v>
      </c>
      <c r="BW9" s="97">
        <v>16</v>
      </c>
      <c r="BX9" s="97">
        <v>34</v>
      </c>
      <c r="BY9" s="97">
        <v>42</v>
      </c>
      <c r="BZ9" s="97">
        <v>25</v>
      </c>
      <c r="CA9" s="97">
        <v>32</v>
      </c>
      <c r="CB9" s="97">
        <v>25</v>
      </c>
      <c r="CC9" s="97">
        <v>41</v>
      </c>
      <c r="CD9" s="97">
        <v>28</v>
      </c>
      <c r="CE9" s="97">
        <v>19</v>
      </c>
      <c r="CF9" s="97">
        <v>19</v>
      </c>
      <c r="CG9" s="97">
        <v>17</v>
      </c>
      <c r="CH9" s="97">
        <v>26</v>
      </c>
      <c r="CI9" s="63">
        <v>13</v>
      </c>
      <c r="CJ9" s="63">
        <v>5</v>
      </c>
      <c r="CK9" s="63">
        <v>7</v>
      </c>
      <c r="CL9" s="63">
        <v>9</v>
      </c>
      <c r="CM9" s="64">
        <v>4</v>
      </c>
      <c r="CN9" s="64">
        <v>1</v>
      </c>
      <c r="CO9" s="64">
        <v>1</v>
      </c>
      <c r="CP9" s="64">
        <v>30</v>
      </c>
      <c r="CQ9" s="64">
        <v>23</v>
      </c>
      <c r="CR9" s="64">
        <v>18</v>
      </c>
      <c r="CS9" s="64">
        <v>19</v>
      </c>
      <c r="CT9" s="64">
        <v>23</v>
      </c>
      <c r="CU9" s="64">
        <v>18</v>
      </c>
      <c r="CV9" s="64">
        <v>22</v>
      </c>
      <c r="CW9" s="64">
        <v>15</v>
      </c>
      <c r="CX9" s="64">
        <v>18</v>
      </c>
      <c r="CY9" s="64">
        <v>19</v>
      </c>
      <c r="CZ9" s="64">
        <v>32</v>
      </c>
      <c r="DA9" s="64">
        <v>36</v>
      </c>
      <c r="DB9" s="64">
        <v>34</v>
      </c>
      <c r="DC9" s="64">
        <v>22</v>
      </c>
      <c r="DD9" s="64">
        <v>22</v>
      </c>
      <c r="DE9" s="64">
        <v>10</v>
      </c>
      <c r="DF9" s="64">
        <v>11</v>
      </c>
      <c r="DG9" s="64">
        <v>24</v>
      </c>
      <c r="DH9" s="64">
        <v>26</v>
      </c>
      <c r="DI9" s="64">
        <v>25</v>
      </c>
      <c r="DJ9" s="64">
        <v>18</v>
      </c>
      <c r="DK9" s="64">
        <v>35</v>
      </c>
      <c r="DL9" s="64">
        <v>50</v>
      </c>
      <c r="DM9" s="64">
        <v>34</v>
      </c>
      <c r="DN9" s="64">
        <v>27</v>
      </c>
      <c r="DO9" s="64">
        <v>22</v>
      </c>
      <c r="DP9" s="64">
        <v>53</v>
      </c>
      <c r="DQ9" s="64">
        <v>40</v>
      </c>
      <c r="DR9" s="64">
        <v>26</v>
      </c>
      <c r="DS9" s="64">
        <v>29</v>
      </c>
      <c r="DT9" s="64">
        <v>33</v>
      </c>
      <c r="DU9" s="64">
        <v>27</v>
      </c>
      <c r="DV9" s="64">
        <v>34</v>
      </c>
      <c r="DW9" s="64">
        <v>32</v>
      </c>
      <c r="DX9" s="64">
        <v>31</v>
      </c>
      <c r="DY9" s="64">
        <v>58</v>
      </c>
      <c r="DZ9" s="64">
        <v>55</v>
      </c>
      <c r="EA9" s="64">
        <v>37</v>
      </c>
      <c r="EB9" s="64">
        <v>29</v>
      </c>
      <c r="EC9" s="64">
        <v>39</v>
      </c>
      <c r="ED9" s="64">
        <v>39</v>
      </c>
      <c r="EE9" s="64">
        <v>45</v>
      </c>
      <c r="EF9" s="64">
        <v>23</v>
      </c>
      <c r="EG9" s="64">
        <v>52</v>
      </c>
      <c r="EH9" s="64">
        <v>73</v>
      </c>
      <c r="EI9" s="64">
        <v>26</v>
      </c>
      <c r="EJ9" s="64">
        <v>23</v>
      </c>
      <c r="EK9" s="64">
        <v>20</v>
      </c>
      <c r="EL9" s="64">
        <v>36</v>
      </c>
      <c r="EM9" s="64">
        <v>24</v>
      </c>
      <c r="EN9" s="64">
        <v>5</v>
      </c>
      <c r="EO9" s="64">
        <v>7</v>
      </c>
      <c r="EP9" s="64">
        <v>36</v>
      </c>
      <c r="EQ9" s="64">
        <v>36</v>
      </c>
      <c r="ER9" s="64">
        <v>60</v>
      </c>
      <c r="ES9" s="64">
        <v>39</v>
      </c>
      <c r="ET9" s="64">
        <v>47</v>
      </c>
      <c r="EU9" s="64">
        <v>56</v>
      </c>
      <c r="EV9" s="64">
        <v>60</v>
      </c>
      <c r="EW9" s="64">
        <v>41</v>
      </c>
      <c r="EX9" s="64">
        <v>63</v>
      </c>
      <c r="EY9" s="64">
        <v>49</v>
      </c>
      <c r="EZ9" s="64">
        <v>37</v>
      </c>
      <c r="FA9" s="64">
        <v>31</v>
      </c>
      <c r="FB9" s="64">
        <v>41</v>
      </c>
      <c r="FC9" s="64">
        <v>35</v>
      </c>
      <c r="FD9" s="64">
        <v>65</v>
      </c>
      <c r="FE9" s="64">
        <v>67</v>
      </c>
      <c r="FF9" s="64">
        <v>41</v>
      </c>
      <c r="FG9" s="64">
        <v>56</v>
      </c>
      <c r="FH9" s="64">
        <v>63</v>
      </c>
      <c r="FI9" s="64">
        <v>64</v>
      </c>
      <c r="FJ9" s="64">
        <v>31</v>
      </c>
      <c r="FK9" s="64">
        <v>65</v>
      </c>
      <c r="FL9" s="64">
        <v>81</v>
      </c>
      <c r="FM9" s="64">
        <v>68</v>
      </c>
      <c r="FN9" s="64">
        <v>55</v>
      </c>
      <c r="FO9" s="64">
        <v>36</v>
      </c>
    </row>
    <row r="10" spans="1:171" x14ac:dyDescent="0.3">
      <c r="E10" s="91"/>
      <c r="F10" s="91"/>
    </row>
    <row r="11" spans="1:171" x14ac:dyDescent="0.3">
      <c r="E11" s="91"/>
      <c r="F11" s="91"/>
    </row>
    <row r="12" spans="1:171" x14ac:dyDescent="0.3">
      <c r="E12" s="91"/>
      <c r="F12" s="91"/>
    </row>
    <row r="13" spans="1:171" x14ac:dyDescent="0.3">
      <c r="E13" s="91"/>
      <c r="F13" s="91"/>
    </row>
    <row r="14" spans="1:171" x14ac:dyDescent="0.3">
      <c r="A14" s="60" t="s">
        <v>192</v>
      </c>
      <c r="B14" s="60"/>
      <c r="C14" s="60" t="s">
        <v>95</v>
      </c>
      <c r="D14" s="60" t="s">
        <v>96</v>
      </c>
      <c r="E14" s="60" t="s">
        <v>97</v>
      </c>
      <c r="F14" s="60" t="s">
        <v>46</v>
      </c>
      <c r="G14" s="60" t="s">
        <v>47</v>
      </c>
      <c r="H14" s="60" t="s">
        <v>48</v>
      </c>
      <c r="I14" s="60" t="s">
        <v>49</v>
      </c>
      <c r="J14" s="60" t="s">
        <v>50</v>
      </c>
      <c r="K14" s="103" t="s">
        <v>51</v>
      </c>
      <c r="L14" s="103" t="s">
        <v>52</v>
      </c>
      <c r="M14" s="103" t="s">
        <v>53</v>
      </c>
      <c r="N14" s="103" t="s">
        <v>54</v>
      </c>
      <c r="O14" s="103" t="s">
        <v>55</v>
      </c>
      <c r="P14" s="103" t="s">
        <v>56</v>
      </c>
      <c r="Q14" s="103" t="s">
        <v>57</v>
      </c>
      <c r="R14" s="103" t="s">
        <v>58</v>
      </c>
      <c r="S14" s="103" t="s">
        <v>59</v>
      </c>
      <c r="T14" s="103" t="s">
        <v>60</v>
      </c>
      <c r="U14" s="103" t="s">
        <v>61</v>
      </c>
      <c r="V14" s="103" t="s">
        <v>62</v>
      </c>
      <c r="W14" s="103" t="s">
        <v>63</v>
      </c>
      <c r="X14" s="103" t="s">
        <v>64</v>
      </c>
      <c r="Y14" s="103" t="s">
        <v>65</v>
      </c>
      <c r="Z14" s="103" t="s">
        <v>66</v>
      </c>
      <c r="AA14" s="103" t="s">
        <v>67</v>
      </c>
      <c r="AB14" s="103" t="s">
        <v>68</v>
      </c>
      <c r="AC14" s="103" t="s">
        <v>69</v>
      </c>
      <c r="AD14" s="103" t="s">
        <v>70</v>
      </c>
      <c r="AE14" s="103" t="s">
        <v>71</v>
      </c>
      <c r="AF14" s="103" t="s">
        <v>72</v>
      </c>
      <c r="AG14" s="103" t="s">
        <v>73</v>
      </c>
      <c r="AH14" s="103" t="s">
        <v>74</v>
      </c>
      <c r="AI14" s="103" t="s">
        <v>75</v>
      </c>
      <c r="AJ14" s="103" t="s">
        <v>76</v>
      </c>
      <c r="AK14" s="103" t="s">
        <v>77</v>
      </c>
      <c r="AL14" s="103" t="s">
        <v>78</v>
      </c>
      <c r="AM14" s="103" t="s">
        <v>79</v>
      </c>
      <c r="AN14" s="103" t="s">
        <v>80</v>
      </c>
      <c r="AO14" s="104" t="s">
        <v>81</v>
      </c>
      <c r="AP14" s="104" t="s">
        <v>82</v>
      </c>
      <c r="AQ14" s="104" t="s">
        <v>83</v>
      </c>
      <c r="AR14" s="104" t="s">
        <v>84</v>
      </c>
      <c r="AS14" s="104" t="s">
        <v>85</v>
      </c>
      <c r="AT14" s="104" t="s">
        <v>86</v>
      </c>
      <c r="AU14" s="104" t="s">
        <v>87</v>
      </c>
      <c r="AV14" s="104" t="s">
        <v>88</v>
      </c>
      <c r="AW14" s="104" t="s">
        <v>89</v>
      </c>
      <c r="AX14" s="104" t="s">
        <v>90</v>
      </c>
      <c r="AY14" s="104" t="s">
        <v>91</v>
      </c>
      <c r="AZ14" s="104" t="s">
        <v>92</v>
      </c>
      <c r="BA14" s="104" t="s">
        <v>93</v>
      </c>
      <c r="BB14" s="104" t="s">
        <v>94</v>
      </c>
      <c r="BC14" s="104" t="s">
        <v>95</v>
      </c>
      <c r="BD14" s="104" t="s">
        <v>96</v>
      </c>
      <c r="BE14" s="104" t="s">
        <v>97</v>
      </c>
      <c r="BF14" s="104" t="s">
        <v>46</v>
      </c>
      <c r="BG14" s="104" t="s">
        <v>47</v>
      </c>
      <c r="BH14" s="104" t="s">
        <v>48</v>
      </c>
      <c r="BI14" s="104" t="s">
        <v>49</v>
      </c>
      <c r="BJ14" s="104" t="s">
        <v>50</v>
      </c>
      <c r="BK14" s="104" t="s">
        <v>51</v>
      </c>
      <c r="BL14" s="104" t="s">
        <v>52</v>
      </c>
      <c r="BM14" s="104" t="s">
        <v>53</v>
      </c>
      <c r="BN14" s="104" t="s">
        <v>54</v>
      </c>
      <c r="BO14" s="104" t="s">
        <v>55</v>
      </c>
      <c r="BP14" s="104" t="s">
        <v>56</v>
      </c>
      <c r="BQ14" s="104" t="s">
        <v>57</v>
      </c>
      <c r="BR14" s="104" t="s">
        <v>58</v>
      </c>
      <c r="BS14" s="104" t="s">
        <v>59</v>
      </c>
      <c r="BT14" s="104" t="s">
        <v>60</v>
      </c>
      <c r="BU14" s="104" t="s">
        <v>61</v>
      </c>
      <c r="BV14" s="104" t="s">
        <v>62</v>
      </c>
      <c r="BW14" s="104" t="s">
        <v>63</v>
      </c>
      <c r="BX14" s="104" t="s">
        <v>64</v>
      </c>
      <c r="BY14" s="104" t="s">
        <v>65</v>
      </c>
      <c r="BZ14" s="104" t="s">
        <v>66</v>
      </c>
      <c r="CA14" s="104" t="s">
        <v>67</v>
      </c>
      <c r="CB14" s="104" t="s">
        <v>68</v>
      </c>
      <c r="CC14" s="104" t="s">
        <v>69</v>
      </c>
      <c r="CD14" s="104" t="s">
        <v>70</v>
      </c>
      <c r="CE14" s="104" t="s">
        <v>71</v>
      </c>
      <c r="CF14" s="104" t="s">
        <v>72</v>
      </c>
      <c r="CG14" s="104" t="s">
        <v>73</v>
      </c>
      <c r="CH14" s="104" t="s">
        <v>74</v>
      </c>
      <c r="CI14" s="104" t="s">
        <v>75</v>
      </c>
      <c r="CJ14" s="104" t="s">
        <v>76</v>
      </c>
      <c r="CK14" s="104" t="s">
        <v>77</v>
      </c>
      <c r="CL14" s="110" t="s">
        <v>78</v>
      </c>
      <c r="CM14" s="103" t="s">
        <v>79</v>
      </c>
      <c r="CN14" s="103" t="s">
        <v>80</v>
      </c>
      <c r="CO14" s="103" t="s">
        <v>210</v>
      </c>
      <c r="CP14" s="103" t="s">
        <v>211</v>
      </c>
      <c r="CQ14" s="103" t="s">
        <v>212</v>
      </c>
      <c r="CR14" s="103" t="s">
        <v>213</v>
      </c>
      <c r="CS14" s="103" t="s">
        <v>214</v>
      </c>
      <c r="CT14" s="103" t="s">
        <v>216</v>
      </c>
      <c r="CU14" s="103" t="s">
        <v>217</v>
      </c>
      <c r="CV14" s="103" t="s">
        <v>218</v>
      </c>
      <c r="CW14" s="103" t="s">
        <v>220</v>
      </c>
      <c r="CX14" s="103" t="s">
        <v>90</v>
      </c>
      <c r="CY14" s="103" t="s">
        <v>91</v>
      </c>
      <c r="CZ14" s="103" t="s">
        <v>92</v>
      </c>
      <c r="DA14" s="103" t="s">
        <v>93</v>
      </c>
      <c r="DB14" s="103" t="s">
        <v>94</v>
      </c>
      <c r="DC14" s="103" t="s">
        <v>95</v>
      </c>
      <c r="DD14" s="103" t="s">
        <v>96</v>
      </c>
      <c r="DE14" s="103" t="s">
        <v>97</v>
      </c>
      <c r="DF14" s="103" t="s">
        <v>46</v>
      </c>
      <c r="DG14" s="103" t="s">
        <v>47</v>
      </c>
      <c r="DH14" s="103" t="s">
        <v>48</v>
      </c>
      <c r="DI14" s="103" t="s">
        <v>49</v>
      </c>
      <c r="DJ14" s="103" t="s">
        <v>50</v>
      </c>
      <c r="DK14" s="103" t="s">
        <v>51</v>
      </c>
      <c r="DL14" s="103" t="s">
        <v>52</v>
      </c>
      <c r="DM14" s="103" t="s">
        <v>53</v>
      </c>
      <c r="DN14" s="103" t="s">
        <v>54</v>
      </c>
      <c r="DO14" s="103" t="s">
        <v>55</v>
      </c>
      <c r="DP14" s="103" t="s">
        <v>56</v>
      </c>
      <c r="DQ14" s="103" t="s">
        <v>57</v>
      </c>
      <c r="DR14" s="103" t="s">
        <v>58</v>
      </c>
      <c r="DS14" s="103" t="s">
        <v>59</v>
      </c>
      <c r="DT14" s="103" t="s">
        <v>60</v>
      </c>
      <c r="DU14" s="103" t="s">
        <v>61</v>
      </c>
      <c r="DV14" s="103" t="s">
        <v>62</v>
      </c>
      <c r="DW14" s="103" t="s">
        <v>63</v>
      </c>
      <c r="DX14" s="103" t="s">
        <v>64</v>
      </c>
      <c r="DY14" s="103" t="s">
        <v>65</v>
      </c>
      <c r="DZ14" s="103" t="s">
        <v>66</v>
      </c>
      <c r="EA14" s="103" t="s">
        <v>67</v>
      </c>
      <c r="EB14" s="103" t="s">
        <v>68</v>
      </c>
      <c r="EC14" s="103" t="s">
        <v>69</v>
      </c>
      <c r="ED14" s="103" t="s">
        <v>70</v>
      </c>
      <c r="EE14" s="103" t="s">
        <v>71</v>
      </c>
      <c r="EF14" s="103" t="s">
        <v>72</v>
      </c>
      <c r="EG14" s="103" t="s">
        <v>73</v>
      </c>
      <c r="EH14" s="103" t="s">
        <v>74</v>
      </c>
      <c r="EI14" s="103" t="s">
        <v>75</v>
      </c>
      <c r="EJ14" s="103" t="s">
        <v>76</v>
      </c>
      <c r="EK14" s="103" t="s">
        <v>77</v>
      </c>
      <c r="EL14" s="103" t="s">
        <v>78</v>
      </c>
      <c r="EM14" s="103" t="s">
        <v>79</v>
      </c>
      <c r="EN14" s="103" t="s">
        <v>80</v>
      </c>
      <c r="EO14" s="103" t="s">
        <v>210</v>
      </c>
      <c r="EP14" s="103" t="s">
        <v>211</v>
      </c>
      <c r="EQ14" s="103" t="s">
        <v>212</v>
      </c>
      <c r="ER14" s="103" t="s">
        <v>213</v>
      </c>
      <c r="ES14" s="103" t="s">
        <v>214</v>
      </c>
      <c r="ET14" s="103" t="s">
        <v>216</v>
      </c>
      <c r="EU14" s="103" t="s">
        <v>217</v>
      </c>
      <c r="EV14" s="103" t="s">
        <v>218</v>
      </c>
      <c r="EW14" s="103" t="s">
        <v>220</v>
      </c>
      <c r="EX14" s="103" t="s">
        <v>90</v>
      </c>
      <c r="EY14" s="103" t="s">
        <v>91</v>
      </c>
      <c r="EZ14" s="103" t="s">
        <v>92</v>
      </c>
      <c r="FA14" s="103" t="s">
        <v>93</v>
      </c>
      <c r="FB14" s="103" t="s">
        <v>94</v>
      </c>
      <c r="FC14" s="103" t="s">
        <v>95</v>
      </c>
      <c r="FD14" s="103" t="s">
        <v>96</v>
      </c>
      <c r="FE14" s="103" t="s">
        <v>97</v>
      </c>
      <c r="FF14" s="103" t="s">
        <v>46</v>
      </c>
      <c r="FG14" s="103" t="s">
        <v>47</v>
      </c>
      <c r="FH14" s="103" t="s">
        <v>48</v>
      </c>
      <c r="FI14" s="103" t="s">
        <v>49</v>
      </c>
      <c r="FJ14" s="103" t="s">
        <v>50</v>
      </c>
      <c r="FK14" s="103" t="s">
        <v>51</v>
      </c>
      <c r="FL14" s="103" t="s">
        <v>52</v>
      </c>
      <c r="FM14" s="103" t="s">
        <v>53</v>
      </c>
      <c r="FN14" s="103" t="s">
        <v>54</v>
      </c>
      <c r="FO14" s="103" t="s">
        <v>55</v>
      </c>
    </row>
    <row r="15" spans="1:171" x14ac:dyDescent="0.3">
      <c r="A15" s="61" t="s">
        <v>193</v>
      </c>
      <c r="B15" s="61"/>
      <c r="C15" s="61">
        <v>16</v>
      </c>
      <c r="D15" s="61">
        <v>28</v>
      </c>
      <c r="E15" s="61">
        <v>28</v>
      </c>
      <c r="F15" s="61">
        <v>17</v>
      </c>
      <c r="G15" s="61">
        <v>16</v>
      </c>
      <c r="H15" s="61">
        <v>15</v>
      </c>
      <c r="I15" s="61">
        <v>17</v>
      </c>
      <c r="J15" s="61">
        <v>13</v>
      </c>
      <c r="K15" s="94">
        <v>25</v>
      </c>
      <c r="L15" s="94">
        <v>23</v>
      </c>
      <c r="M15" s="94">
        <v>21</v>
      </c>
      <c r="N15" s="94">
        <v>16</v>
      </c>
      <c r="O15" s="94">
        <v>12</v>
      </c>
      <c r="P15" s="94">
        <v>12</v>
      </c>
      <c r="Q15" s="94">
        <v>17</v>
      </c>
      <c r="R15" s="94">
        <v>15</v>
      </c>
      <c r="S15" s="94">
        <v>7</v>
      </c>
      <c r="T15" s="94">
        <v>10</v>
      </c>
      <c r="U15" s="94">
        <v>18</v>
      </c>
      <c r="V15" s="94">
        <v>10</v>
      </c>
      <c r="W15" s="94">
        <v>9</v>
      </c>
      <c r="X15" s="94">
        <v>10</v>
      </c>
      <c r="Y15" s="94">
        <v>20</v>
      </c>
      <c r="Z15" s="94">
        <v>8</v>
      </c>
      <c r="AA15" s="94">
        <v>10</v>
      </c>
      <c r="AB15" s="94">
        <v>23</v>
      </c>
      <c r="AC15" s="94">
        <v>25</v>
      </c>
      <c r="AD15" s="94">
        <v>23</v>
      </c>
      <c r="AE15" s="95">
        <v>27</v>
      </c>
      <c r="AF15" s="95">
        <v>15</v>
      </c>
      <c r="AG15" s="95">
        <v>22</v>
      </c>
      <c r="AH15" s="95">
        <v>26</v>
      </c>
      <c r="AI15" s="91">
        <v>13</v>
      </c>
      <c r="AJ15" s="91">
        <v>25</v>
      </c>
      <c r="AK15" s="91">
        <v>25</v>
      </c>
      <c r="AL15" s="91">
        <v>20</v>
      </c>
      <c r="AM15" s="91">
        <v>13</v>
      </c>
      <c r="AN15" s="91">
        <v>7</v>
      </c>
      <c r="AO15" s="91">
        <v>17</v>
      </c>
      <c r="AP15" s="91">
        <v>22</v>
      </c>
      <c r="AQ15" s="91">
        <v>24</v>
      </c>
      <c r="AR15" s="91">
        <v>30</v>
      </c>
      <c r="AS15" s="91">
        <v>29</v>
      </c>
      <c r="AT15" s="91">
        <v>35</v>
      </c>
      <c r="AU15" s="91">
        <v>26</v>
      </c>
      <c r="AV15" s="91">
        <v>37</v>
      </c>
      <c r="AW15" s="91">
        <v>33</v>
      </c>
      <c r="AX15" s="91">
        <v>41</v>
      </c>
      <c r="AY15" s="91">
        <v>28</v>
      </c>
      <c r="AZ15" s="91">
        <v>66</v>
      </c>
      <c r="BA15" s="91">
        <v>42</v>
      </c>
      <c r="BB15" s="91">
        <v>10</v>
      </c>
      <c r="BC15" s="91">
        <v>46</v>
      </c>
      <c r="BD15" s="91">
        <v>46</v>
      </c>
      <c r="BE15" s="91">
        <v>22</v>
      </c>
      <c r="BF15" s="91">
        <v>20</v>
      </c>
      <c r="BG15" s="91">
        <v>52</v>
      </c>
      <c r="BH15" s="91">
        <v>33</v>
      </c>
      <c r="BI15" s="91">
        <v>29</v>
      </c>
      <c r="BJ15" s="91">
        <v>29</v>
      </c>
      <c r="BK15" s="91">
        <v>27</v>
      </c>
      <c r="BL15" s="91">
        <v>24</v>
      </c>
      <c r="BM15" s="91">
        <v>30</v>
      </c>
      <c r="BN15" s="91">
        <v>28</v>
      </c>
      <c r="BO15" s="91">
        <v>18</v>
      </c>
      <c r="BP15" s="91">
        <v>42</v>
      </c>
      <c r="BQ15" s="91">
        <v>30</v>
      </c>
      <c r="BR15" s="91">
        <v>21</v>
      </c>
      <c r="BS15" s="91">
        <v>23</v>
      </c>
      <c r="BT15" s="91">
        <v>31</v>
      </c>
      <c r="BU15" s="91">
        <v>32</v>
      </c>
      <c r="BV15" s="91">
        <v>44</v>
      </c>
      <c r="BW15" s="91">
        <v>16</v>
      </c>
      <c r="BX15" s="91">
        <v>33</v>
      </c>
      <c r="BY15" s="91">
        <v>41</v>
      </c>
      <c r="BZ15" s="91">
        <v>23</v>
      </c>
      <c r="CA15" s="91">
        <v>31</v>
      </c>
      <c r="CB15" s="91">
        <v>24</v>
      </c>
      <c r="CC15" s="91">
        <v>39</v>
      </c>
      <c r="CD15" s="91">
        <v>25</v>
      </c>
      <c r="CE15" s="91">
        <v>19</v>
      </c>
      <c r="CF15" s="91">
        <v>17</v>
      </c>
      <c r="CG15" s="91">
        <v>17</v>
      </c>
      <c r="CH15" s="91">
        <v>25</v>
      </c>
      <c r="CI15" s="58">
        <v>12</v>
      </c>
      <c r="CJ15" s="58">
        <v>5</v>
      </c>
      <c r="CK15" s="58">
        <v>7</v>
      </c>
      <c r="CL15" s="58">
        <v>9</v>
      </c>
      <c r="CM15" s="62">
        <v>4</v>
      </c>
      <c r="CN15" s="62">
        <v>1</v>
      </c>
      <c r="CO15" s="62">
        <v>1</v>
      </c>
      <c r="CP15" s="62">
        <v>29</v>
      </c>
      <c r="CQ15" s="62">
        <v>22</v>
      </c>
      <c r="CR15" s="62">
        <v>17</v>
      </c>
      <c r="CS15" s="62">
        <v>19</v>
      </c>
      <c r="CT15" s="62">
        <v>22</v>
      </c>
      <c r="CU15" s="62">
        <v>17</v>
      </c>
      <c r="CV15" s="62">
        <v>22</v>
      </c>
      <c r="CW15" s="62">
        <v>15</v>
      </c>
      <c r="CX15" s="62">
        <v>18</v>
      </c>
      <c r="CY15" s="62">
        <v>17</v>
      </c>
      <c r="CZ15" s="62">
        <v>32</v>
      </c>
      <c r="DA15" s="62">
        <v>35</v>
      </c>
      <c r="DB15" s="62">
        <v>34</v>
      </c>
      <c r="DC15" s="62">
        <v>22</v>
      </c>
      <c r="DD15" s="62">
        <v>21</v>
      </c>
      <c r="DE15" s="62">
        <v>9</v>
      </c>
      <c r="DF15" s="62">
        <v>11</v>
      </c>
      <c r="DG15" s="62">
        <v>22</v>
      </c>
      <c r="DH15" s="62">
        <v>26</v>
      </c>
      <c r="DI15" s="62">
        <v>24</v>
      </c>
      <c r="DJ15" s="62">
        <v>18</v>
      </c>
      <c r="DK15" s="62">
        <v>35</v>
      </c>
      <c r="DL15" s="62">
        <v>49</v>
      </c>
      <c r="DM15" s="62">
        <v>34</v>
      </c>
      <c r="DN15" s="62">
        <v>27</v>
      </c>
      <c r="DO15" s="62">
        <v>22</v>
      </c>
      <c r="DP15" s="62">
        <v>52</v>
      </c>
      <c r="DQ15" s="62">
        <v>40</v>
      </c>
      <c r="DR15" s="62">
        <v>26</v>
      </c>
      <c r="DS15" s="62">
        <v>29</v>
      </c>
      <c r="DT15" s="62">
        <v>32</v>
      </c>
      <c r="DU15" s="62">
        <v>26</v>
      </c>
      <c r="DV15" s="62">
        <v>34</v>
      </c>
      <c r="DW15" s="62">
        <v>32</v>
      </c>
      <c r="DX15" s="62">
        <v>31</v>
      </c>
      <c r="DY15" s="62">
        <v>57</v>
      </c>
      <c r="DZ15" s="62">
        <v>54</v>
      </c>
      <c r="EA15" s="62">
        <v>38</v>
      </c>
      <c r="EB15" s="62">
        <v>29</v>
      </c>
      <c r="EC15" s="62">
        <v>38</v>
      </c>
      <c r="ED15" s="62">
        <v>39</v>
      </c>
      <c r="EE15" s="62">
        <v>45</v>
      </c>
      <c r="EF15" s="62">
        <v>22</v>
      </c>
      <c r="EG15" s="62">
        <v>52</v>
      </c>
      <c r="EH15" s="62">
        <v>72</v>
      </c>
      <c r="EI15" s="62">
        <v>25</v>
      </c>
      <c r="EJ15" s="62">
        <v>23</v>
      </c>
      <c r="EK15" s="62">
        <v>20</v>
      </c>
      <c r="EL15" s="62">
        <v>36</v>
      </c>
      <c r="EM15" s="62">
        <v>24</v>
      </c>
      <c r="EN15" s="62">
        <v>5</v>
      </c>
      <c r="EO15" s="62">
        <v>7</v>
      </c>
      <c r="EP15" s="62">
        <v>36</v>
      </c>
      <c r="EQ15" s="62">
        <v>36</v>
      </c>
      <c r="ER15" s="62">
        <v>59</v>
      </c>
      <c r="ES15" s="62">
        <v>39</v>
      </c>
      <c r="ET15" s="62">
        <v>46</v>
      </c>
      <c r="EU15" s="62">
        <v>54</v>
      </c>
      <c r="EV15" s="62">
        <v>59</v>
      </c>
      <c r="EW15" s="62">
        <v>40</v>
      </c>
      <c r="EX15" s="62">
        <v>62</v>
      </c>
      <c r="EY15" s="62">
        <v>49</v>
      </c>
      <c r="EZ15" s="62">
        <v>37</v>
      </c>
      <c r="FA15" s="62">
        <v>31</v>
      </c>
      <c r="FB15" s="62">
        <v>40</v>
      </c>
      <c r="FC15" s="62">
        <v>35</v>
      </c>
      <c r="FD15" s="62">
        <v>64</v>
      </c>
      <c r="FE15" s="62">
        <v>65</v>
      </c>
      <c r="FF15" s="62">
        <v>41</v>
      </c>
      <c r="FG15" s="62">
        <v>56</v>
      </c>
      <c r="FH15" s="62">
        <v>63</v>
      </c>
      <c r="FI15" s="62">
        <v>64</v>
      </c>
      <c r="FJ15" s="62">
        <v>31</v>
      </c>
      <c r="FK15" s="62">
        <v>65</v>
      </c>
      <c r="FL15" s="62">
        <v>81</v>
      </c>
      <c r="FM15" s="62">
        <v>65</v>
      </c>
      <c r="FN15" s="62">
        <v>55</v>
      </c>
      <c r="FO15" s="62">
        <v>36</v>
      </c>
    </row>
    <row r="16" spans="1:171" ht="14.25" customHeight="1" x14ac:dyDescent="0.3">
      <c r="A16" s="61" t="s">
        <v>194</v>
      </c>
      <c r="B16" s="61"/>
      <c r="C16" s="61">
        <v>1</v>
      </c>
      <c r="D16" s="61">
        <v>4</v>
      </c>
      <c r="E16" s="61">
        <v>1</v>
      </c>
      <c r="F16" s="61">
        <v>0</v>
      </c>
      <c r="G16" s="61">
        <v>1</v>
      </c>
      <c r="H16" s="61">
        <v>1</v>
      </c>
      <c r="I16" s="61">
        <v>0</v>
      </c>
      <c r="J16" s="61">
        <v>1</v>
      </c>
      <c r="K16" s="94">
        <v>0</v>
      </c>
      <c r="L16" s="94">
        <v>0</v>
      </c>
      <c r="M16" s="94">
        <v>0</v>
      </c>
      <c r="N16" s="94">
        <v>0</v>
      </c>
      <c r="O16" s="94">
        <v>0</v>
      </c>
      <c r="P16" s="94">
        <v>0</v>
      </c>
      <c r="Q16" s="94">
        <v>1</v>
      </c>
      <c r="R16" s="94">
        <v>0</v>
      </c>
      <c r="S16" s="94">
        <v>0</v>
      </c>
      <c r="T16" s="94">
        <v>0</v>
      </c>
      <c r="U16" s="94">
        <v>0</v>
      </c>
      <c r="V16" s="94">
        <v>0</v>
      </c>
      <c r="W16" s="94">
        <v>0</v>
      </c>
      <c r="X16" s="94">
        <v>0</v>
      </c>
      <c r="Y16" s="94">
        <v>0</v>
      </c>
      <c r="Z16" s="94">
        <v>0</v>
      </c>
      <c r="AA16" s="94">
        <v>0</v>
      </c>
      <c r="AB16" s="94">
        <v>0</v>
      </c>
      <c r="AC16" s="94">
        <v>0</v>
      </c>
      <c r="AD16" s="94">
        <v>0</v>
      </c>
      <c r="AE16" s="94">
        <v>0</v>
      </c>
      <c r="AF16" s="94">
        <v>0</v>
      </c>
      <c r="AG16" s="94">
        <v>0</v>
      </c>
      <c r="AH16" s="94">
        <v>0</v>
      </c>
      <c r="AI16" s="95">
        <v>0</v>
      </c>
      <c r="AJ16" s="95">
        <v>0</v>
      </c>
      <c r="AK16" s="95">
        <v>0</v>
      </c>
      <c r="AL16" s="91">
        <v>0</v>
      </c>
      <c r="AM16" s="91">
        <v>0</v>
      </c>
      <c r="AN16" s="91">
        <v>0</v>
      </c>
      <c r="AO16" s="91">
        <v>0</v>
      </c>
      <c r="AP16" s="91">
        <v>0</v>
      </c>
      <c r="AQ16" s="91">
        <v>0</v>
      </c>
      <c r="AR16" s="91">
        <v>1</v>
      </c>
      <c r="AS16" s="91">
        <v>0</v>
      </c>
      <c r="AT16" s="91">
        <v>0</v>
      </c>
      <c r="AU16" s="91">
        <v>0</v>
      </c>
      <c r="AV16" s="91">
        <v>0</v>
      </c>
      <c r="AW16" s="91">
        <v>0</v>
      </c>
      <c r="AX16" s="91">
        <v>0</v>
      </c>
      <c r="AY16" s="91">
        <v>0</v>
      </c>
      <c r="AZ16" s="91">
        <v>1</v>
      </c>
      <c r="BA16" s="91">
        <v>0</v>
      </c>
      <c r="BB16" s="91">
        <v>0</v>
      </c>
      <c r="BC16" s="91">
        <v>2</v>
      </c>
      <c r="BD16" s="91">
        <v>0</v>
      </c>
      <c r="BE16" s="91">
        <v>0</v>
      </c>
      <c r="BF16" s="91">
        <v>0</v>
      </c>
      <c r="BG16" s="91">
        <v>0</v>
      </c>
      <c r="BH16" s="91">
        <v>0</v>
      </c>
      <c r="BI16" s="91">
        <v>1</v>
      </c>
      <c r="BJ16" s="91">
        <v>1</v>
      </c>
      <c r="BK16" s="91">
        <v>1</v>
      </c>
      <c r="BL16" s="91">
        <v>0</v>
      </c>
      <c r="BM16" s="91">
        <v>1</v>
      </c>
      <c r="BN16" s="91">
        <v>0</v>
      </c>
      <c r="BO16" s="91">
        <v>0</v>
      </c>
      <c r="BP16" s="91">
        <v>0</v>
      </c>
      <c r="BQ16" s="91">
        <v>0</v>
      </c>
      <c r="BR16" s="91">
        <v>0</v>
      </c>
      <c r="BS16" s="91">
        <v>0</v>
      </c>
      <c r="BT16" s="91">
        <v>0</v>
      </c>
      <c r="BU16" s="91">
        <v>0</v>
      </c>
      <c r="BV16" s="91">
        <v>0</v>
      </c>
      <c r="BW16" s="91">
        <v>0</v>
      </c>
      <c r="BX16" s="91">
        <v>0</v>
      </c>
      <c r="BY16" s="91">
        <v>0</v>
      </c>
      <c r="BZ16" s="91">
        <v>2</v>
      </c>
      <c r="CA16" s="91">
        <v>0</v>
      </c>
      <c r="CB16" s="91">
        <v>1</v>
      </c>
      <c r="CC16" s="91">
        <v>1</v>
      </c>
      <c r="CD16" s="91">
        <v>0</v>
      </c>
      <c r="CE16" s="91">
        <v>0</v>
      </c>
      <c r="CF16" s="91">
        <v>0</v>
      </c>
      <c r="CG16" s="91">
        <v>0</v>
      </c>
      <c r="CH16" s="91">
        <v>0</v>
      </c>
      <c r="CI16" s="58">
        <v>0</v>
      </c>
      <c r="CJ16" s="58">
        <v>0</v>
      </c>
      <c r="CK16" s="58">
        <v>0</v>
      </c>
      <c r="CL16" s="58">
        <v>0</v>
      </c>
      <c r="CM16" s="62">
        <v>0</v>
      </c>
      <c r="CN16" s="62">
        <v>0</v>
      </c>
      <c r="CO16" s="62">
        <v>0</v>
      </c>
      <c r="CP16" s="62">
        <v>0</v>
      </c>
      <c r="CQ16" s="62">
        <v>0</v>
      </c>
      <c r="CR16" s="62">
        <v>0</v>
      </c>
      <c r="CS16" s="62">
        <v>0</v>
      </c>
      <c r="CT16" s="62">
        <v>0</v>
      </c>
      <c r="CU16" s="62">
        <v>1</v>
      </c>
      <c r="CV16" s="62">
        <v>0</v>
      </c>
      <c r="CW16" s="62">
        <v>0</v>
      </c>
      <c r="CX16" s="62">
        <v>0</v>
      </c>
      <c r="CY16" s="62">
        <v>2</v>
      </c>
      <c r="CZ16" s="62">
        <v>0</v>
      </c>
      <c r="DA16" s="62">
        <v>1</v>
      </c>
      <c r="DB16" s="62">
        <v>0</v>
      </c>
      <c r="DC16" s="62">
        <v>0</v>
      </c>
      <c r="DD16" s="62">
        <v>1</v>
      </c>
      <c r="DE16" s="62">
        <v>0</v>
      </c>
      <c r="DF16" s="62">
        <v>0</v>
      </c>
      <c r="DG16" s="62">
        <v>1</v>
      </c>
      <c r="DH16" s="62">
        <v>0</v>
      </c>
      <c r="DI16" s="62">
        <v>0</v>
      </c>
      <c r="DJ16" s="62">
        <v>0</v>
      </c>
      <c r="DK16" s="62">
        <v>0</v>
      </c>
      <c r="DL16" s="62">
        <v>0</v>
      </c>
      <c r="DM16" s="62">
        <v>0</v>
      </c>
      <c r="DN16" s="62">
        <v>0</v>
      </c>
      <c r="DO16" s="62">
        <v>0</v>
      </c>
      <c r="DP16" s="62">
        <v>1</v>
      </c>
      <c r="DQ16" s="62">
        <v>0</v>
      </c>
      <c r="DR16" s="62">
        <v>0</v>
      </c>
      <c r="DS16" s="62">
        <v>0</v>
      </c>
      <c r="DT16" s="62">
        <v>1</v>
      </c>
      <c r="DU16" s="62">
        <v>1</v>
      </c>
      <c r="DV16" s="62">
        <v>0</v>
      </c>
      <c r="DW16" s="62">
        <v>0</v>
      </c>
      <c r="DX16" s="62">
        <v>0</v>
      </c>
      <c r="DY16" s="62">
        <v>1</v>
      </c>
      <c r="DZ16" s="62">
        <v>0</v>
      </c>
      <c r="EA16" s="62">
        <v>0</v>
      </c>
      <c r="EB16" s="62">
        <v>0</v>
      </c>
      <c r="EC16" s="62">
        <v>1</v>
      </c>
      <c r="ED16" s="62">
        <v>0</v>
      </c>
      <c r="EE16" s="62">
        <v>0</v>
      </c>
      <c r="EF16" s="62">
        <v>1</v>
      </c>
      <c r="EG16" s="62">
        <v>0</v>
      </c>
      <c r="EH16" s="62">
        <v>1</v>
      </c>
      <c r="EI16" s="62">
        <v>0</v>
      </c>
      <c r="EJ16" s="62">
        <v>0</v>
      </c>
      <c r="EK16" s="62">
        <v>0</v>
      </c>
      <c r="EL16" s="62">
        <v>0</v>
      </c>
      <c r="EM16" s="62">
        <v>0</v>
      </c>
      <c r="EN16" s="62">
        <v>0</v>
      </c>
      <c r="EO16" s="62">
        <v>0</v>
      </c>
      <c r="EP16" s="62">
        <v>0</v>
      </c>
      <c r="EQ16" s="62">
        <v>0</v>
      </c>
      <c r="ER16" s="62">
        <v>1</v>
      </c>
      <c r="ES16" s="62">
        <v>0</v>
      </c>
      <c r="ET16" s="62">
        <v>1</v>
      </c>
      <c r="EU16" s="62">
        <v>1</v>
      </c>
      <c r="EV16" s="62">
        <v>0</v>
      </c>
      <c r="EW16" s="62">
        <v>1</v>
      </c>
      <c r="EX16" s="62">
        <v>0</v>
      </c>
      <c r="EY16" s="62">
        <v>0</v>
      </c>
      <c r="EZ16" s="62">
        <v>0</v>
      </c>
      <c r="FA16" s="62">
        <v>0</v>
      </c>
      <c r="FB16" s="62">
        <v>0</v>
      </c>
      <c r="FC16" s="62">
        <v>0</v>
      </c>
      <c r="FD16" s="62">
        <v>1</v>
      </c>
      <c r="FE16" s="62">
        <v>0</v>
      </c>
      <c r="FF16" s="62">
        <v>0</v>
      </c>
      <c r="FG16" s="62">
        <v>0</v>
      </c>
      <c r="FH16" s="62">
        <v>0</v>
      </c>
      <c r="FI16" s="62">
        <v>0</v>
      </c>
      <c r="FJ16" s="62">
        <v>0</v>
      </c>
      <c r="FK16" s="62">
        <v>0</v>
      </c>
      <c r="FL16" s="62">
        <v>0</v>
      </c>
      <c r="FM16" s="62">
        <v>1</v>
      </c>
      <c r="FN16" s="62">
        <v>0</v>
      </c>
      <c r="FO16" s="62">
        <v>0</v>
      </c>
    </row>
    <row r="17" spans="1:171" x14ac:dyDescent="0.3">
      <c r="A17" s="61" t="s">
        <v>195</v>
      </c>
      <c r="B17" s="61"/>
      <c r="C17" s="61">
        <v>2</v>
      </c>
      <c r="D17" s="61">
        <v>2</v>
      </c>
      <c r="E17" s="61">
        <v>0</v>
      </c>
      <c r="F17" s="61">
        <v>0</v>
      </c>
      <c r="G17" s="61">
        <v>4</v>
      </c>
      <c r="H17" s="61">
        <v>1</v>
      </c>
      <c r="I17" s="61">
        <v>1</v>
      </c>
      <c r="J17" s="61">
        <v>2</v>
      </c>
      <c r="K17" s="94">
        <v>1</v>
      </c>
      <c r="L17" s="94">
        <v>2</v>
      </c>
      <c r="M17" s="94">
        <v>1</v>
      </c>
      <c r="N17" s="94">
        <v>0</v>
      </c>
      <c r="O17" s="94">
        <v>0</v>
      </c>
      <c r="P17" s="94">
        <v>0</v>
      </c>
      <c r="Q17" s="94">
        <v>2</v>
      </c>
      <c r="R17" s="94">
        <v>0</v>
      </c>
      <c r="S17" s="94">
        <v>0</v>
      </c>
      <c r="T17" s="94">
        <v>0</v>
      </c>
      <c r="U17" s="94">
        <v>0</v>
      </c>
      <c r="V17" s="94">
        <v>0</v>
      </c>
      <c r="W17" s="94">
        <v>0</v>
      </c>
      <c r="X17" s="94">
        <v>0</v>
      </c>
      <c r="Y17" s="94">
        <v>1</v>
      </c>
      <c r="Z17" s="94">
        <v>0</v>
      </c>
      <c r="AA17" s="94">
        <v>2</v>
      </c>
      <c r="AB17" s="94">
        <v>0</v>
      </c>
      <c r="AC17" s="94">
        <v>0</v>
      </c>
      <c r="AD17" s="94">
        <v>2</v>
      </c>
      <c r="AE17" s="94">
        <v>0</v>
      </c>
      <c r="AF17" s="94">
        <v>0</v>
      </c>
      <c r="AG17" s="94">
        <v>0</v>
      </c>
      <c r="AH17" s="94">
        <v>0</v>
      </c>
      <c r="AI17" s="95">
        <v>0</v>
      </c>
      <c r="AJ17" s="95">
        <v>0</v>
      </c>
      <c r="AK17" s="95">
        <v>0</v>
      </c>
      <c r="AL17" s="91">
        <v>0</v>
      </c>
      <c r="AM17" s="91">
        <v>0</v>
      </c>
      <c r="AN17" s="91">
        <v>0</v>
      </c>
      <c r="AO17" s="91">
        <v>0</v>
      </c>
      <c r="AP17" s="91">
        <v>0</v>
      </c>
      <c r="AQ17" s="91">
        <v>0</v>
      </c>
      <c r="AR17" s="91">
        <v>0</v>
      </c>
      <c r="AS17" s="91">
        <v>0</v>
      </c>
      <c r="AT17" s="91">
        <v>0</v>
      </c>
      <c r="AU17" s="91">
        <v>0</v>
      </c>
      <c r="AV17" s="91">
        <v>0</v>
      </c>
      <c r="AW17" s="91">
        <v>0</v>
      </c>
      <c r="AX17" s="91">
        <v>0</v>
      </c>
      <c r="AY17" s="91">
        <v>0</v>
      </c>
      <c r="AZ17" s="91">
        <v>0</v>
      </c>
      <c r="BA17" s="91">
        <v>0</v>
      </c>
      <c r="BB17" s="91">
        <v>0</v>
      </c>
      <c r="BC17" s="91">
        <v>0</v>
      </c>
      <c r="BD17" s="91">
        <v>1</v>
      </c>
      <c r="BE17" s="91">
        <v>0</v>
      </c>
      <c r="BF17" s="91">
        <v>0</v>
      </c>
      <c r="BG17" s="91">
        <v>0</v>
      </c>
      <c r="BH17" s="91">
        <v>1</v>
      </c>
      <c r="BI17" s="91">
        <v>0</v>
      </c>
      <c r="BJ17" s="91">
        <v>0</v>
      </c>
      <c r="BK17" s="91">
        <v>1</v>
      </c>
      <c r="BL17" s="91">
        <v>0</v>
      </c>
      <c r="BM17" s="91">
        <v>0</v>
      </c>
      <c r="BN17" s="91">
        <v>1</v>
      </c>
      <c r="BO17" s="91">
        <v>0</v>
      </c>
      <c r="BP17" s="91">
        <v>1</v>
      </c>
      <c r="BQ17" s="91">
        <v>0</v>
      </c>
      <c r="BR17" s="91">
        <v>0</v>
      </c>
      <c r="BS17" s="91">
        <v>0</v>
      </c>
      <c r="BT17" s="91">
        <v>1</v>
      </c>
      <c r="BU17" s="91">
        <v>0</v>
      </c>
      <c r="BV17" s="91">
        <v>0</v>
      </c>
      <c r="BW17" s="91">
        <v>0</v>
      </c>
      <c r="BX17" s="91">
        <v>1</v>
      </c>
      <c r="BY17" s="91">
        <v>1</v>
      </c>
      <c r="BZ17" s="91">
        <v>0</v>
      </c>
      <c r="CA17" s="91">
        <v>1</v>
      </c>
      <c r="CB17" s="91">
        <v>0</v>
      </c>
      <c r="CC17" s="91">
        <v>1</v>
      </c>
      <c r="CD17" s="91">
        <v>2</v>
      </c>
      <c r="CE17" s="91">
        <v>0</v>
      </c>
      <c r="CF17" s="91">
        <v>2</v>
      </c>
      <c r="CG17" s="91">
        <v>0</v>
      </c>
      <c r="CH17" s="91">
        <v>1</v>
      </c>
      <c r="CI17" s="58">
        <v>1</v>
      </c>
      <c r="CJ17" s="58">
        <v>0</v>
      </c>
      <c r="CK17" s="58">
        <v>0</v>
      </c>
      <c r="CL17" s="58">
        <v>0</v>
      </c>
      <c r="CM17" s="62">
        <v>0</v>
      </c>
      <c r="CN17" s="62">
        <v>0</v>
      </c>
      <c r="CO17" s="62">
        <v>0</v>
      </c>
      <c r="CP17" s="62">
        <v>1</v>
      </c>
      <c r="CQ17" s="62">
        <v>1</v>
      </c>
      <c r="CR17" s="62">
        <v>1</v>
      </c>
      <c r="CS17" s="62">
        <v>0</v>
      </c>
      <c r="CT17" s="62">
        <v>0</v>
      </c>
      <c r="CU17" s="62">
        <v>0</v>
      </c>
      <c r="CV17" s="62">
        <v>0</v>
      </c>
      <c r="CW17" s="62">
        <v>0</v>
      </c>
      <c r="CX17" s="62">
        <v>0</v>
      </c>
      <c r="CY17" s="62">
        <v>0</v>
      </c>
      <c r="CZ17" s="62">
        <v>0</v>
      </c>
      <c r="DA17" s="62">
        <v>0</v>
      </c>
      <c r="DB17" s="62">
        <v>0</v>
      </c>
      <c r="DC17" s="62">
        <v>0</v>
      </c>
      <c r="DD17" s="62">
        <v>0</v>
      </c>
      <c r="DE17" s="62">
        <v>1</v>
      </c>
      <c r="DF17" s="62">
        <v>0</v>
      </c>
      <c r="DG17" s="62">
        <v>1</v>
      </c>
      <c r="DH17" s="62">
        <v>0</v>
      </c>
      <c r="DI17" s="62">
        <v>0</v>
      </c>
      <c r="DJ17" s="62">
        <v>0</v>
      </c>
      <c r="DK17" s="62">
        <v>0</v>
      </c>
      <c r="DL17" s="62">
        <v>1</v>
      </c>
      <c r="DM17" s="62">
        <v>0</v>
      </c>
      <c r="DN17" s="62">
        <v>0</v>
      </c>
      <c r="DO17" s="62">
        <v>0</v>
      </c>
      <c r="DP17" s="62">
        <v>0</v>
      </c>
      <c r="DQ17" s="62">
        <v>0</v>
      </c>
      <c r="DR17" s="62">
        <v>0</v>
      </c>
      <c r="DS17" s="62">
        <v>0</v>
      </c>
      <c r="DT17" s="62">
        <v>0</v>
      </c>
      <c r="DU17" s="62">
        <v>0</v>
      </c>
      <c r="DV17" s="62">
        <v>0</v>
      </c>
      <c r="DW17" s="62">
        <v>0</v>
      </c>
      <c r="DX17" s="62">
        <v>0</v>
      </c>
      <c r="DY17" s="62">
        <v>0</v>
      </c>
      <c r="DZ17" s="62">
        <v>0</v>
      </c>
      <c r="EA17" s="62">
        <v>0</v>
      </c>
      <c r="EB17" s="62">
        <v>0</v>
      </c>
      <c r="EC17" s="62">
        <v>0</v>
      </c>
      <c r="ED17" s="62">
        <v>0</v>
      </c>
      <c r="EE17" s="62">
        <v>0</v>
      </c>
      <c r="EF17" s="62">
        <v>0</v>
      </c>
      <c r="EG17" s="62">
        <v>0</v>
      </c>
      <c r="EH17" s="62">
        <v>0</v>
      </c>
      <c r="EI17" s="62">
        <v>1</v>
      </c>
      <c r="EJ17" s="62">
        <v>0</v>
      </c>
      <c r="EK17" s="62">
        <v>0</v>
      </c>
      <c r="EL17" s="62">
        <v>0</v>
      </c>
      <c r="EM17" s="62">
        <v>0</v>
      </c>
      <c r="EN17" s="62">
        <v>0</v>
      </c>
      <c r="EO17" s="62">
        <v>0</v>
      </c>
      <c r="EP17" s="62">
        <v>0</v>
      </c>
      <c r="EQ17" s="62">
        <v>0</v>
      </c>
      <c r="ER17" s="62">
        <v>0</v>
      </c>
      <c r="ES17" s="62">
        <v>0</v>
      </c>
      <c r="ET17" s="62">
        <v>0</v>
      </c>
      <c r="EU17" s="62">
        <v>0</v>
      </c>
      <c r="EV17" s="62">
        <v>0</v>
      </c>
      <c r="EW17" s="62">
        <v>0</v>
      </c>
      <c r="EX17" s="62">
        <v>1</v>
      </c>
      <c r="EY17" s="62">
        <v>0</v>
      </c>
      <c r="EZ17" s="62">
        <v>0</v>
      </c>
      <c r="FA17" s="62">
        <v>0</v>
      </c>
      <c r="FB17" s="62">
        <v>0</v>
      </c>
      <c r="FC17" s="62">
        <v>0</v>
      </c>
      <c r="FD17" s="62">
        <v>0</v>
      </c>
      <c r="FE17" s="62">
        <v>0</v>
      </c>
      <c r="FF17" s="62">
        <v>0</v>
      </c>
      <c r="FG17" s="62">
        <v>0</v>
      </c>
      <c r="FH17" s="62">
        <v>0</v>
      </c>
      <c r="FI17" s="62">
        <v>0</v>
      </c>
      <c r="FJ17" s="62">
        <v>0</v>
      </c>
      <c r="FK17" s="62">
        <v>0</v>
      </c>
      <c r="FL17" s="62">
        <v>0</v>
      </c>
      <c r="FM17" s="62">
        <v>0</v>
      </c>
      <c r="FN17" s="62">
        <v>0</v>
      </c>
      <c r="FO17" s="62">
        <v>0</v>
      </c>
    </row>
    <row r="18" spans="1:171" x14ac:dyDescent="0.3">
      <c r="A18" s="61" t="s">
        <v>98</v>
      </c>
      <c r="B18" s="61"/>
      <c r="C18" s="61">
        <f t="shared" ref="C18:AH18" si="2">SUM(C15:C17)</f>
        <v>19</v>
      </c>
      <c r="D18" s="61">
        <f t="shared" si="2"/>
        <v>34</v>
      </c>
      <c r="E18" s="61">
        <f t="shared" si="2"/>
        <v>29</v>
      </c>
      <c r="F18" s="61">
        <f t="shared" si="2"/>
        <v>17</v>
      </c>
      <c r="G18" s="61">
        <f t="shared" si="2"/>
        <v>21</v>
      </c>
      <c r="H18" s="61">
        <f t="shared" si="2"/>
        <v>17</v>
      </c>
      <c r="I18" s="61">
        <f t="shared" si="2"/>
        <v>18</v>
      </c>
      <c r="J18" s="61">
        <f t="shared" si="2"/>
        <v>16</v>
      </c>
      <c r="K18" s="61">
        <f t="shared" si="2"/>
        <v>26</v>
      </c>
      <c r="L18" s="61">
        <f t="shared" si="2"/>
        <v>25</v>
      </c>
      <c r="M18" s="61">
        <f t="shared" si="2"/>
        <v>22</v>
      </c>
      <c r="N18" s="61">
        <f t="shared" si="2"/>
        <v>16</v>
      </c>
      <c r="O18" s="61">
        <f t="shared" si="2"/>
        <v>12</v>
      </c>
      <c r="P18" s="61">
        <f t="shared" si="2"/>
        <v>12</v>
      </c>
      <c r="Q18" s="61">
        <f t="shared" si="2"/>
        <v>20</v>
      </c>
      <c r="R18" s="61">
        <f t="shared" si="2"/>
        <v>15</v>
      </c>
      <c r="S18" s="61">
        <f t="shared" si="2"/>
        <v>7</v>
      </c>
      <c r="T18" s="61">
        <f t="shared" si="2"/>
        <v>10</v>
      </c>
      <c r="U18" s="61">
        <f t="shared" si="2"/>
        <v>18</v>
      </c>
      <c r="V18" s="61">
        <f t="shared" si="2"/>
        <v>10</v>
      </c>
      <c r="W18" s="61">
        <f t="shared" si="2"/>
        <v>9</v>
      </c>
      <c r="X18" s="61">
        <f t="shared" si="2"/>
        <v>10</v>
      </c>
      <c r="Y18" s="61">
        <f t="shared" si="2"/>
        <v>21</v>
      </c>
      <c r="Z18" s="61">
        <f t="shared" si="2"/>
        <v>8</v>
      </c>
      <c r="AA18" s="61">
        <f t="shared" si="2"/>
        <v>12</v>
      </c>
      <c r="AB18" s="61">
        <f t="shared" si="2"/>
        <v>23</v>
      </c>
      <c r="AC18" s="61">
        <f t="shared" si="2"/>
        <v>25</v>
      </c>
      <c r="AD18" s="61">
        <f t="shared" si="2"/>
        <v>25</v>
      </c>
      <c r="AE18" s="61">
        <f t="shared" si="2"/>
        <v>27</v>
      </c>
      <c r="AF18" s="61">
        <f t="shared" si="2"/>
        <v>15</v>
      </c>
      <c r="AG18" s="61">
        <f t="shared" si="2"/>
        <v>22</v>
      </c>
      <c r="AH18" s="61">
        <f t="shared" si="2"/>
        <v>26</v>
      </c>
      <c r="AI18" s="61">
        <f t="shared" ref="AI18:BB18" si="3">SUM(AI15:AI17)</f>
        <v>13</v>
      </c>
      <c r="AJ18" s="61">
        <f t="shared" si="3"/>
        <v>25</v>
      </c>
      <c r="AK18" s="61">
        <f t="shared" si="3"/>
        <v>25</v>
      </c>
      <c r="AL18" s="61">
        <f t="shared" si="3"/>
        <v>20</v>
      </c>
      <c r="AM18" s="61">
        <f t="shared" si="3"/>
        <v>13</v>
      </c>
      <c r="AN18" s="61">
        <f t="shared" si="3"/>
        <v>7</v>
      </c>
      <c r="AO18" s="61">
        <f t="shared" si="3"/>
        <v>17</v>
      </c>
      <c r="AP18" s="61">
        <f t="shared" si="3"/>
        <v>22</v>
      </c>
      <c r="AQ18" s="61">
        <f t="shared" si="3"/>
        <v>24</v>
      </c>
      <c r="AR18" s="61">
        <f t="shared" si="3"/>
        <v>31</v>
      </c>
      <c r="AS18" s="61">
        <f t="shared" si="3"/>
        <v>29</v>
      </c>
      <c r="AT18" s="61">
        <f t="shared" si="3"/>
        <v>35</v>
      </c>
      <c r="AU18" s="61">
        <f t="shared" si="3"/>
        <v>26</v>
      </c>
      <c r="AV18" s="61">
        <f t="shared" si="3"/>
        <v>37</v>
      </c>
      <c r="AW18" s="61">
        <f t="shared" si="3"/>
        <v>33</v>
      </c>
      <c r="AX18" s="61">
        <f t="shared" si="3"/>
        <v>41</v>
      </c>
      <c r="AY18" s="61">
        <f t="shared" si="3"/>
        <v>28</v>
      </c>
      <c r="AZ18" s="61">
        <f t="shared" si="3"/>
        <v>67</v>
      </c>
      <c r="BA18" s="61">
        <f t="shared" si="3"/>
        <v>42</v>
      </c>
      <c r="BB18" s="61">
        <f t="shared" si="3"/>
        <v>10</v>
      </c>
      <c r="BC18" s="61">
        <v>48</v>
      </c>
      <c r="BD18" s="61">
        <f>SUM(BD15:BD17)</f>
        <v>47</v>
      </c>
      <c r="BE18" s="61">
        <f>SUM(BE15:BE17)</f>
        <v>22</v>
      </c>
      <c r="BF18" s="61">
        <v>39</v>
      </c>
      <c r="BG18" s="61">
        <v>61</v>
      </c>
      <c r="BH18" s="91">
        <v>39</v>
      </c>
      <c r="BI18" s="91">
        <v>37</v>
      </c>
      <c r="BJ18" s="91">
        <v>38</v>
      </c>
      <c r="BK18" s="91">
        <v>29</v>
      </c>
      <c r="BL18" s="91">
        <v>24</v>
      </c>
      <c r="BM18" s="91">
        <v>31</v>
      </c>
      <c r="BN18" s="97">
        <f>SUM(BN15:BN17)</f>
        <v>29</v>
      </c>
      <c r="BO18" s="101">
        <f>SUM(BO15:BO17)</f>
        <v>18</v>
      </c>
      <c r="BP18" s="101">
        <f>SUM(BP15:BP17)</f>
        <v>43</v>
      </c>
      <c r="BQ18" s="101">
        <f>SUM(BQ15:BQ17)</f>
        <v>30</v>
      </c>
      <c r="BR18" s="97">
        <v>25</v>
      </c>
      <c r="BS18" s="97">
        <v>24</v>
      </c>
      <c r="BT18" s="97">
        <v>32</v>
      </c>
      <c r="BU18" s="97">
        <v>32</v>
      </c>
      <c r="BV18" s="97">
        <v>44</v>
      </c>
      <c r="BW18" s="97">
        <v>16</v>
      </c>
      <c r="BX18" s="97">
        <v>34</v>
      </c>
      <c r="BY18" s="97">
        <v>42</v>
      </c>
      <c r="BZ18" s="97">
        <v>25</v>
      </c>
      <c r="CA18" s="97">
        <v>32</v>
      </c>
      <c r="CB18" s="97">
        <v>25</v>
      </c>
      <c r="CC18" s="97">
        <v>41</v>
      </c>
      <c r="CD18" s="97">
        <v>28</v>
      </c>
      <c r="CE18" s="97">
        <v>19</v>
      </c>
      <c r="CF18" s="97">
        <v>19</v>
      </c>
      <c r="CG18" s="97">
        <v>17</v>
      </c>
      <c r="CH18" s="97">
        <v>26</v>
      </c>
      <c r="CI18" s="63">
        <v>12</v>
      </c>
      <c r="CJ18" s="63">
        <v>5</v>
      </c>
      <c r="CK18" s="63">
        <v>7</v>
      </c>
      <c r="CL18" s="63">
        <v>9</v>
      </c>
      <c r="CM18" s="64">
        <v>4</v>
      </c>
      <c r="CN18" s="64">
        <v>1</v>
      </c>
      <c r="CO18" s="64">
        <v>1</v>
      </c>
      <c r="CP18" s="64">
        <v>30</v>
      </c>
      <c r="CQ18" s="64">
        <v>23</v>
      </c>
      <c r="CR18" s="64">
        <v>18</v>
      </c>
      <c r="CS18" s="64">
        <v>19</v>
      </c>
      <c r="CT18" s="64">
        <v>22</v>
      </c>
      <c r="CU18" s="64">
        <v>18</v>
      </c>
      <c r="CV18" s="64">
        <v>22</v>
      </c>
      <c r="CW18" s="64">
        <v>15</v>
      </c>
      <c r="CX18" s="64">
        <v>18</v>
      </c>
      <c r="CY18" s="64">
        <v>19</v>
      </c>
      <c r="CZ18" s="64">
        <v>32</v>
      </c>
      <c r="DA18" s="64">
        <v>36</v>
      </c>
      <c r="DB18" s="64">
        <v>34</v>
      </c>
      <c r="DC18" s="64">
        <v>22</v>
      </c>
      <c r="DD18" s="64">
        <v>22</v>
      </c>
      <c r="DE18" s="64">
        <v>10</v>
      </c>
      <c r="DF18" s="64">
        <v>11</v>
      </c>
      <c r="DG18" s="64">
        <v>24</v>
      </c>
      <c r="DH18" s="64">
        <v>26</v>
      </c>
      <c r="DI18" s="64">
        <v>25</v>
      </c>
      <c r="DJ18" s="64">
        <v>18</v>
      </c>
      <c r="DK18" s="64">
        <v>35</v>
      </c>
      <c r="DL18" s="64">
        <v>50</v>
      </c>
      <c r="DM18" s="64">
        <v>34</v>
      </c>
      <c r="DN18" s="64">
        <v>27</v>
      </c>
      <c r="DO18" s="64">
        <v>22</v>
      </c>
      <c r="DP18" s="64">
        <v>53</v>
      </c>
      <c r="DQ18" s="64">
        <v>40</v>
      </c>
      <c r="DR18" s="64">
        <v>26</v>
      </c>
      <c r="DS18" s="64">
        <v>29</v>
      </c>
      <c r="DT18" s="64">
        <v>33</v>
      </c>
      <c r="DU18" s="64">
        <v>27</v>
      </c>
      <c r="DV18" s="64">
        <v>34</v>
      </c>
      <c r="DW18" s="64">
        <v>32</v>
      </c>
      <c r="DX18" s="64">
        <v>31</v>
      </c>
      <c r="DY18" s="64">
        <v>58</v>
      </c>
      <c r="DZ18" s="64">
        <v>55</v>
      </c>
      <c r="EA18" s="64">
        <v>37</v>
      </c>
      <c r="EB18" s="64">
        <v>29</v>
      </c>
      <c r="EC18" s="64">
        <v>39</v>
      </c>
      <c r="ED18" s="64">
        <v>39</v>
      </c>
      <c r="EE18" s="64">
        <v>45</v>
      </c>
      <c r="EF18" s="64">
        <v>23</v>
      </c>
      <c r="EG18" s="64">
        <v>52</v>
      </c>
      <c r="EH18" s="64">
        <v>73</v>
      </c>
      <c r="EI18" s="64">
        <v>26</v>
      </c>
      <c r="EJ18" s="64">
        <v>23</v>
      </c>
      <c r="EK18" s="64">
        <v>20</v>
      </c>
      <c r="EL18" s="64">
        <v>36</v>
      </c>
      <c r="EM18" s="64">
        <v>24</v>
      </c>
      <c r="EN18" s="64">
        <v>5</v>
      </c>
      <c r="EO18" s="64">
        <v>7</v>
      </c>
      <c r="EP18" s="64">
        <v>36</v>
      </c>
      <c r="EQ18" s="64">
        <v>36</v>
      </c>
      <c r="ER18" s="64">
        <v>60</v>
      </c>
      <c r="ES18" s="64">
        <v>39</v>
      </c>
      <c r="ET18" s="64">
        <v>47</v>
      </c>
      <c r="EU18" s="64">
        <v>56</v>
      </c>
      <c r="EV18" s="64">
        <v>60</v>
      </c>
      <c r="EW18" s="64">
        <v>41</v>
      </c>
      <c r="EX18" s="64">
        <v>63</v>
      </c>
      <c r="EY18" s="64">
        <v>49</v>
      </c>
      <c r="EZ18" s="64">
        <v>37</v>
      </c>
      <c r="FA18" s="64">
        <v>31</v>
      </c>
      <c r="FB18" s="64">
        <v>41</v>
      </c>
      <c r="FC18" s="64">
        <v>35</v>
      </c>
      <c r="FD18" s="64">
        <v>65</v>
      </c>
      <c r="FE18" s="64">
        <v>67</v>
      </c>
      <c r="FF18" s="64">
        <v>41</v>
      </c>
      <c r="FG18" s="64">
        <v>56</v>
      </c>
      <c r="FH18" s="64">
        <v>63</v>
      </c>
      <c r="FI18" s="64">
        <v>64</v>
      </c>
      <c r="FJ18" s="64">
        <v>30</v>
      </c>
      <c r="FK18" s="64">
        <v>65</v>
      </c>
      <c r="FL18" s="64">
        <v>81</v>
      </c>
      <c r="FM18" s="64">
        <v>66</v>
      </c>
      <c r="FN18" s="64">
        <v>55</v>
      </c>
      <c r="FO18" s="64">
        <v>36</v>
      </c>
    </row>
    <row r="19" spans="1:171" x14ac:dyDescent="0.3">
      <c r="E19" s="91"/>
      <c r="F19" s="91"/>
    </row>
    <row r="20" spans="1:171" x14ac:dyDescent="0.3">
      <c r="E20" s="91"/>
      <c r="F20" s="91"/>
    </row>
    <row r="21" spans="1:171" x14ac:dyDescent="0.3">
      <c r="E21" s="91"/>
      <c r="F21" s="91"/>
    </row>
    <row r="22" spans="1:171" x14ac:dyDescent="0.3">
      <c r="E22" s="91"/>
      <c r="F22" s="91"/>
    </row>
  </sheetData>
  <phoneticPr fontId="7" type="noConversion"/>
  <pageMargins left="0.7" right="0.7" top="0.75" bottom="0.75" header="0.3" footer="0.3"/>
  <pageSetup orientation="portrait" horizontalDpi="90" verticalDpi="9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K50"/>
  <sheetViews>
    <sheetView tabSelected="1" topLeftCell="A31" zoomScaleNormal="100" workbookViewId="0">
      <pane xSplit="62" topLeftCell="EU1" activePane="topRight" state="frozen"/>
      <selection activeCell="A26" sqref="A26"/>
      <selection pane="topRight" activeCell="A40" sqref="A40"/>
    </sheetView>
  </sheetViews>
  <sheetFormatPr defaultColWidth="9.08984375" defaultRowHeight="15.75" customHeight="1" x14ac:dyDescent="0.35"/>
  <cols>
    <col min="1" max="1" width="47" style="69" bestFit="1" customWidth="1"/>
    <col min="2" max="2" width="8.81640625" style="69" hidden="1" customWidth="1"/>
    <col min="3" max="3" width="8.81640625" style="68" hidden="1" customWidth="1"/>
    <col min="4" max="5" width="8.81640625" style="69" hidden="1" customWidth="1"/>
    <col min="6" max="6" width="9.08984375" style="69" hidden="1" customWidth="1"/>
    <col min="7" max="7" width="9.08984375" style="68" hidden="1" customWidth="1"/>
    <col min="8" max="8" width="9.08984375" style="71" hidden="1" customWidth="1"/>
    <col min="9" max="10" width="9.08984375" style="68" hidden="1" customWidth="1"/>
    <col min="11" max="11" width="9.08984375" style="72" hidden="1" customWidth="1"/>
    <col min="12" max="12" width="9.08984375" style="69" hidden="1" customWidth="1"/>
    <col min="13" max="14" width="9.08984375" style="68" hidden="1" customWidth="1"/>
    <col min="15" max="15" width="9.08984375" style="72" hidden="1" customWidth="1"/>
    <col min="16" max="17" width="9.08984375" style="68" hidden="1" customWidth="1"/>
    <col min="18" max="18" width="9.08984375" style="71" hidden="1" customWidth="1"/>
    <col min="19" max="23" width="9.08984375" style="69" hidden="1" customWidth="1"/>
    <col min="24" max="24" width="9.08984375" style="68" hidden="1" customWidth="1"/>
    <col min="25" max="29" width="9.08984375" style="69" hidden="1" customWidth="1"/>
    <col min="30" max="31" width="9.08984375" style="68" hidden="1" customWidth="1"/>
    <col min="32" max="32" width="9.08984375" style="69" hidden="1" customWidth="1"/>
    <col min="33" max="33" width="0" style="69" hidden="1" customWidth="1"/>
    <col min="34" max="34" width="0" style="68" hidden="1" customWidth="1"/>
    <col min="35" max="36" width="0" style="69" hidden="1" customWidth="1"/>
    <col min="37" max="37" width="0" style="70" hidden="1" customWidth="1"/>
    <col min="38" max="40" width="0" style="68" hidden="1" customWidth="1"/>
    <col min="41" max="42" width="0" style="69" hidden="1" customWidth="1"/>
    <col min="43" max="43" width="0" style="71" hidden="1" customWidth="1"/>
    <col min="44" max="51" width="0" style="69" hidden="1" customWidth="1"/>
    <col min="52" max="53" width="0" style="71" hidden="1" customWidth="1"/>
    <col min="54" max="62" width="0" style="69" hidden="1" customWidth="1"/>
    <col min="63" max="16384" width="9.08984375" style="69"/>
  </cols>
  <sheetData>
    <row r="1" spans="1:167" ht="15.75" customHeight="1" x14ac:dyDescent="0.35">
      <c r="A1" s="73" t="s">
        <v>196</v>
      </c>
      <c r="B1" s="73" t="s">
        <v>46</v>
      </c>
      <c r="C1" s="73" t="s">
        <v>47</v>
      </c>
      <c r="D1" s="73" t="s">
        <v>48</v>
      </c>
      <c r="E1" s="73" t="s">
        <v>49</v>
      </c>
      <c r="F1" s="73" t="s">
        <v>50</v>
      </c>
      <c r="G1" s="73" t="s">
        <v>51</v>
      </c>
      <c r="H1" s="73" t="s">
        <v>52</v>
      </c>
      <c r="I1" s="73" t="s">
        <v>53</v>
      </c>
      <c r="J1" s="73" t="s">
        <v>54</v>
      </c>
      <c r="K1" s="74" t="s">
        <v>55</v>
      </c>
      <c r="L1" s="74" t="s">
        <v>56</v>
      </c>
      <c r="M1" s="74" t="s">
        <v>57</v>
      </c>
      <c r="N1" s="74" t="s">
        <v>58</v>
      </c>
      <c r="O1" s="74" t="s">
        <v>59</v>
      </c>
      <c r="P1" s="74" t="s">
        <v>60</v>
      </c>
      <c r="Q1" s="74" t="s">
        <v>61</v>
      </c>
      <c r="R1" s="74" t="s">
        <v>62</v>
      </c>
      <c r="S1" s="74" t="s">
        <v>63</v>
      </c>
      <c r="T1" s="74" t="s">
        <v>64</v>
      </c>
      <c r="U1" s="74" t="s">
        <v>65</v>
      </c>
      <c r="V1" s="74" t="s">
        <v>66</v>
      </c>
      <c r="W1" s="74" t="s">
        <v>67</v>
      </c>
      <c r="X1" s="74" t="s">
        <v>68</v>
      </c>
      <c r="Y1" s="74" t="s">
        <v>69</v>
      </c>
      <c r="Z1" s="74" t="s">
        <v>70</v>
      </c>
      <c r="AA1" s="74" t="s">
        <v>71</v>
      </c>
      <c r="AB1" s="74" t="s">
        <v>72</v>
      </c>
      <c r="AC1" s="74" t="s">
        <v>73</v>
      </c>
      <c r="AD1" s="74" t="s">
        <v>74</v>
      </c>
      <c r="AE1" s="74" t="s">
        <v>75</v>
      </c>
      <c r="AF1" s="74" t="s">
        <v>76</v>
      </c>
      <c r="AG1" s="74" t="s">
        <v>77</v>
      </c>
      <c r="AH1" s="74" t="s">
        <v>78</v>
      </c>
      <c r="AI1" s="74" t="s">
        <v>79</v>
      </c>
      <c r="AJ1" s="74" t="s">
        <v>80</v>
      </c>
      <c r="AK1" s="74" t="s">
        <v>81</v>
      </c>
      <c r="AL1" s="74" t="s">
        <v>82</v>
      </c>
      <c r="AM1" s="74" t="s">
        <v>83</v>
      </c>
      <c r="AN1" s="74" t="s">
        <v>84</v>
      </c>
      <c r="AO1" s="74" t="s">
        <v>85</v>
      </c>
      <c r="AP1" s="74" t="s">
        <v>86</v>
      </c>
      <c r="AQ1" s="74" t="s">
        <v>87</v>
      </c>
      <c r="AR1" s="74" t="s">
        <v>88</v>
      </c>
      <c r="AS1" s="74" t="s">
        <v>89</v>
      </c>
      <c r="AT1" s="74" t="s">
        <v>90</v>
      </c>
      <c r="AU1" s="74" t="s">
        <v>91</v>
      </c>
      <c r="AV1" s="74" t="s">
        <v>92</v>
      </c>
      <c r="AW1" s="74" t="s">
        <v>93</v>
      </c>
      <c r="AX1" s="74" t="s">
        <v>94</v>
      </c>
      <c r="AY1" s="74" t="s">
        <v>95</v>
      </c>
      <c r="AZ1" s="74" t="s">
        <v>96</v>
      </c>
      <c r="BA1" s="74" t="s">
        <v>97</v>
      </c>
      <c r="BB1" s="74" t="s">
        <v>46</v>
      </c>
      <c r="BC1" s="74" t="s">
        <v>47</v>
      </c>
      <c r="BD1" s="74" t="s">
        <v>48</v>
      </c>
      <c r="BE1" s="74" t="s">
        <v>49</v>
      </c>
      <c r="BF1" s="74" t="s">
        <v>50</v>
      </c>
      <c r="BG1" s="74" t="s">
        <v>51</v>
      </c>
      <c r="BH1" s="74" t="s">
        <v>52</v>
      </c>
      <c r="BI1" s="74" t="s">
        <v>53</v>
      </c>
      <c r="BJ1" s="74" t="s">
        <v>54</v>
      </c>
      <c r="BK1" s="74" t="s">
        <v>55</v>
      </c>
      <c r="BL1" s="74" t="s">
        <v>56</v>
      </c>
      <c r="BM1" s="74" t="s">
        <v>57</v>
      </c>
      <c r="BN1" s="74" t="s">
        <v>58</v>
      </c>
      <c r="BO1" s="74" t="s">
        <v>59</v>
      </c>
      <c r="BP1" s="74" t="s">
        <v>60</v>
      </c>
      <c r="BQ1" s="74" t="s">
        <v>61</v>
      </c>
      <c r="BR1" s="74" t="s">
        <v>62</v>
      </c>
      <c r="BS1" s="74" t="s">
        <v>63</v>
      </c>
      <c r="BT1" s="74" t="s">
        <v>64</v>
      </c>
      <c r="BU1" s="74" t="s">
        <v>65</v>
      </c>
      <c r="BV1" s="74" t="s">
        <v>66</v>
      </c>
      <c r="BW1" s="74" t="s">
        <v>67</v>
      </c>
      <c r="BX1" s="74" t="s">
        <v>68</v>
      </c>
      <c r="BY1" s="74" t="s">
        <v>69</v>
      </c>
      <c r="BZ1" s="74" t="s">
        <v>70</v>
      </c>
      <c r="CA1" s="74" t="s">
        <v>71</v>
      </c>
      <c r="CB1" s="74" t="s">
        <v>72</v>
      </c>
      <c r="CC1" s="74" t="s">
        <v>73</v>
      </c>
      <c r="CD1" s="74" t="s">
        <v>74</v>
      </c>
      <c r="CE1" s="74" t="s">
        <v>75</v>
      </c>
      <c r="CF1" s="74" t="s">
        <v>76</v>
      </c>
      <c r="CG1" s="74" t="s">
        <v>77</v>
      </c>
      <c r="CH1" s="74" t="s">
        <v>78</v>
      </c>
      <c r="CI1" s="74" t="s">
        <v>79</v>
      </c>
      <c r="CJ1" s="74" t="s">
        <v>80</v>
      </c>
      <c r="CK1" s="74" t="s">
        <v>210</v>
      </c>
      <c r="CL1" s="74" t="s">
        <v>211</v>
      </c>
      <c r="CM1" s="74" t="s">
        <v>212</v>
      </c>
      <c r="CN1" s="74" t="s">
        <v>213</v>
      </c>
      <c r="CO1" s="74" t="s">
        <v>214</v>
      </c>
      <c r="CP1" s="74" t="s">
        <v>216</v>
      </c>
      <c r="CQ1" s="74" t="s">
        <v>217</v>
      </c>
      <c r="CR1" s="74" t="s">
        <v>218</v>
      </c>
      <c r="CS1" s="74" t="s">
        <v>220</v>
      </c>
      <c r="CT1" s="74" t="s">
        <v>90</v>
      </c>
      <c r="CU1" s="74" t="s">
        <v>91</v>
      </c>
      <c r="CV1" s="74" t="s">
        <v>92</v>
      </c>
      <c r="CW1" s="74" t="s">
        <v>93</v>
      </c>
      <c r="CX1" s="74" t="s">
        <v>94</v>
      </c>
      <c r="CY1" s="74" t="s">
        <v>95</v>
      </c>
      <c r="CZ1" s="74" t="s">
        <v>96</v>
      </c>
      <c r="DA1" s="74" t="s">
        <v>97</v>
      </c>
      <c r="DB1" s="74" t="s">
        <v>46</v>
      </c>
      <c r="DC1" s="74" t="s">
        <v>47</v>
      </c>
      <c r="DD1" s="74" t="s">
        <v>48</v>
      </c>
      <c r="DE1" s="74" t="s">
        <v>49</v>
      </c>
      <c r="DF1" s="74" t="s">
        <v>50</v>
      </c>
      <c r="DG1" s="74" t="s">
        <v>51</v>
      </c>
      <c r="DH1" s="74" t="s">
        <v>52</v>
      </c>
      <c r="DI1" s="74" t="s">
        <v>53</v>
      </c>
      <c r="DJ1" s="74" t="s">
        <v>54</v>
      </c>
      <c r="DK1" s="74" t="s">
        <v>55</v>
      </c>
      <c r="DL1" s="74" t="s">
        <v>56</v>
      </c>
      <c r="DM1" s="74" t="s">
        <v>57</v>
      </c>
      <c r="DN1" s="74" t="s">
        <v>58</v>
      </c>
      <c r="DO1" s="74" t="s">
        <v>59</v>
      </c>
      <c r="DP1" s="74" t="s">
        <v>60</v>
      </c>
      <c r="DQ1" s="74" t="s">
        <v>61</v>
      </c>
      <c r="DR1" s="74" t="s">
        <v>62</v>
      </c>
      <c r="DS1" s="74" t="s">
        <v>63</v>
      </c>
      <c r="DT1" s="74" t="s">
        <v>64</v>
      </c>
      <c r="DU1" s="74" t="s">
        <v>65</v>
      </c>
      <c r="DV1" s="74" t="s">
        <v>66</v>
      </c>
      <c r="DW1" s="74" t="s">
        <v>67</v>
      </c>
      <c r="DX1" s="74" t="s">
        <v>68</v>
      </c>
      <c r="DY1" s="74" t="s">
        <v>69</v>
      </c>
      <c r="DZ1" s="74" t="s">
        <v>70</v>
      </c>
      <c r="EA1" s="74" t="s">
        <v>71</v>
      </c>
      <c r="EB1" s="74" t="s">
        <v>72</v>
      </c>
      <c r="EC1" s="74" t="s">
        <v>73</v>
      </c>
      <c r="ED1" s="74" t="s">
        <v>74</v>
      </c>
      <c r="EE1" s="74" t="s">
        <v>75</v>
      </c>
      <c r="EF1" s="74" t="s">
        <v>76</v>
      </c>
      <c r="EG1" s="74" t="s">
        <v>77</v>
      </c>
      <c r="EH1" s="74" t="s">
        <v>78</v>
      </c>
      <c r="EI1" s="74" t="s">
        <v>79</v>
      </c>
      <c r="EJ1" s="74" t="s">
        <v>80</v>
      </c>
      <c r="EK1" s="74" t="s">
        <v>210</v>
      </c>
      <c r="EL1" s="74" t="s">
        <v>211</v>
      </c>
      <c r="EM1" s="74" t="s">
        <v>212</v>
      </c>
      <c r="EN1" s="74" t="s">
        <v>213</v>
      </c>
      <c r="EO1" s="74" t="s">
        <v>214</v>
      </c>
      <c r="EP1" s="74" t="s">
        <v>216</v>
      </c>
      <c r="EQ1" s="74" t="s">
        <v>217</v>
      </c>
      <c r="ER1" s="74" t="s">
        <v>218</v>
      </c>
      <c r="ES1" s="74" t="s">
        <v>220</v>
      </c>
      <c r="ET1" s="74" t="s">
        <v>90</v>
      </c>
      <c r="EU1" s="74" t="s">
        <v>91</v>
      </c>
      <c r="EV1" s="74" t="s">
        <v>92</v>
      </c>
      <c r="EW1" s="74" t="s">
        <v>93</v>
      </c>
      <c r="EX1" s="74" t="s">
        <v>94</v>
      </c>
      <c r="EY1" s="74" t="s">
        <v>95</v>
      </c>
      <c r="EZ1" s="74" t="s">
        <v>96</v>
      </c>
      <c r="FA1" s="74" t="s">
        <v>97</v>
      </c>
      <c r="FB1" s="74" t="s">
        <v>46</v>
      </c>
      <c r="FC1" s="74" t="s">
        <v>47</v>
      </c>
      <c r="FD1" s="74" t="s">
        <v>48</v>
      </c>
      <c r="FE1" s="74" t="s">
        <v>49</v>
      </c>
      <c r="FF1" s="74" t="s">
        <v>50</v>
      </c>
      <c r="FG1" s="74" t="s">
        <v>51</v>
      </c>
      <c r="FH1" s="74" t="s">
        <v>52</v>
      </c>
      <c r="FI1" s="74" t="s">
        <v>53</v>
      </c>
      <c r="FJ1" s="74" t="s">
        <v>54</v>
      </c>
      <c r="FK1" s="74" t="s">
        <v>55</v>
      </c>
    </row>
    <row r="2" spans="1:167" ht="15.75" customHeight="1" x14ac:dyDescent="0.35">
      <c r="A2" s="75" t="s">
        <v>197</v>
      </c>
      <c r="B2" s="76"/>
      <c r="C2" s="76"/>
      <c r="D2" s="77"/>
      <c r="E2" s="78"/>
      <c r="F2" s="78"/>
      <c r="G2" s="79"/>
      <c r="H2" s="78"/>
      <c r="I2" s="78"/>
      <c r="J2" s="78"/>
      <c r="K2" s="78"/>
      <c r="L2" s="78"/>
      <c r="M2" s="78"/>
      <c r="N2" s="78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>
        <v>24</v>
      </c>
      <c r="AM2" s="79">
        <v>7</v>
      </c>
      <c r="AN2" s="79">
        <v>8</v>
      </c>
      <c r="AO2" s="79">
        <v>24</v>
      </c>
      <c r="AP2" s="79"/>
      <c r="AQ2" s="79">
        <v>2</v>
      </c>
      <c r="AR2" s="79">
        <v>1</v>
      </c>
      <c r="AS2" s="79">
        <v>1</v>
      </c>
      <c r="AT2" s="79"/>
      <c r="AU2" s="79"/>
      <c r="AV2" s="79">
        <v>8</v>
      </c>
      <c r="AW2" s="79">
        <v>4</v>
      </c>
      <c r="AX2" s="79"/>
      <c r="AY2" s="79">
        <f>VLOOKUP(A2,[1]Sheet1!$A:$B,2,FALSE)</f>
        <v>12</v>
      </c>
      <c r="AZ2" s="79"/>
      <c r="BA2" s="79"/>
      <c r="BB2" s="79"/>
      <c r="BC2" s="79">
        <v>4</v>
      </c>
      <c r="BD2" s="79"/>
      <c r="BE2" s="79"/>
      <c r="BF2" s="79">
        <v>1</v>
      </c>
      <c r="BG2" s="79"/>
      <c r="BH2" s="79">
        <v>2</v>
      </c>
      <c r="BI2" s="79"/>
      <c r="BJ2" s="79">
        <v>1</v>
      </c>
      <c r="BK2" s="79">
        <v>5</v>
      </c>
      <c r="BL2" s="79">
        <v>1</v>
      </c>
      <c r="BM2" s="79">
        <v>0</v>
      </c>
      <c r="BN2" s="79">
        <v>0</v>
      </c>
      <c r="BO2" s="79">
        <v>1</v>
      </c>
      <c r="BP2" s="79">
        <v>9</v>
      </c>
      <c r="BQ2" s="79">
        <v>1</v>
      </c>
      <c r="BR2" s="79">
        <v>2</v>
      </c>
      <c r="BS2" s="79">
        <v>5</v>
      </c>
      <c r="BT2" s="79">
        <v>3</v>
      </c>
      <c r="BU2" s="79">
        <v>0</v>
      </c>
      <c r="BV2" s="79">
        <v>1</v>
      </c>
      <c r="BW2" s="79">
        <v>2</v>
      </c>
      <c r="BX2" s="79">
        <v>34</v>
      </c>
      <c r="BY2" s="79">
        <v>1</v>
      </c>
      <c r="BZ2" s="79">
        <v>1</v>
      </c>
      <c r="CA2" s="79">
        <v>2</v>
      </c>
      <c r="CB2" s="79">
        <v>1</v>
      </c>
      <c r="CC2" s="79">
        <v>2</v>
      </c>
      <c r="CD2" s="79">
        <v>4</v>
      </c>
      <c r="CE2" s="79">
        <v>1</v>
      </c>
      <c r="CF2" s="79">
        <v>0</v>
      </c>
      <c r="CG2" s="79">
        <v>0</v>
      </c>
      <c r="CH2" s="79">
        <v>2</v>
      </c>
      <c r="CI2" s="79">
        <v>1</v>
      </c>
      <c r="CJ2" s="79">
        <v>0</v>
      </c>
      <c r="CK2" s="79">
        <v>38</v>
      </c>
      <c r="CL2" s="79">
        <v>0</v>
      </c>
      <c r="CM2" s="79">
        <v>34</v>
      </c>
      <c r="CN2" s="79">
        <v>3</v>
      </c>
      <c r="CO2" s="79">
        <v>8</v>
      </c>
      <c r="CP2" s="79">
        <v>1</v>
      </c>
      <c r="CQ2" s="79">
        <v>7</v>
      </c>
      <c r="CR2" s="79">
        <v>6</v>
      </c>
      <c r="CS2" s="79">
        <v>3</v>
      </c>
      <c r="CT2" s="79">
        <v>4</v>
      </c>
      <c r="CU2" s="79">
        <v>3</v>
      </c>
      <c r="CV2" s="79">
        <v>4</v>
      </c>
      <c r="CW2" s="79">
        <v>0</v>
      </c>
      <c r="CX2" s="79">
        <v>1</v>
      </c>
      <c r="CY2" s="79">
        <v>9</v>
      </c>
      <c r="CZ2" s="79">
        <v>4</v>
      </c>
      <c r="DA2" s="79">
        <v>5</v>
      </c>
      <c r="DB2" s="79">
        <v>0</v>
      </c>
      <c r="DC2" s="79">
        <v>0</v>
      </c>
      <c r="DD2" s="79">
        <v>0</v>
      </c>
      <c r="DE2" s="79">
        <v>78</v>
      </c>
      <c r="DF2" s="79">
        <v>3</v>
      </c>
      <c r="DG2" s="79">
        <v>3</v>
      </c>
      <c r="DH2" s="79">
        <v>0</v>
      </c>
      <c r="DI2" s="79">
        <v>4</v>
      </c>
      <c r="DJ2" s="79">
        <v>13</v>
      </c>
      <c r="DK2" s="79">
        <v>13</v>
      </c>
      <c r="DL2" s="79">
        <v>15</v>
      </c>
      <c r="DM2" s="79">
        <v>79</v>
      </c>
      <c r="DN2" s="79">
        <v>4</v>
      </c>
      <c r="DO2" s="79">
        <v>0</v>
      </c>
      <c r="DP2" s="79">
        <v>1</v>
      </c>
      <c r="DQ2" s="79">
        <v>0</v>
      </c>
      <c r="DR2" s="79">
        <v>0</v>
      </c>
      <c r="DS2" s="79">
        <v>1</v>
      </c>
      <c r="DT2" s="79">
        <v>0</v>
      </c>
      <c r="DU2" s="79">
        <v>1</v>
      </c>
      <c r="DV2" s="79">
        <v>0</v>
      </c>
      <c r="DW2" s="79">
        <v>0</v>
      </c>
      <c r="DX2" s="79">
        <v>0</v>
      </c>
      <c r="DY2" s="79">
        <v>1</v>
      </c>
      <c r="DZ2" s="79">
        <v>0</v>
      </c>
      <c r="EA2" s="79">
        <v>0</v>
      </c>
      <c r="EB2" s="79">
        <v>0</v>
      </c>
      <c r="EC2" s="79">
        <v>0</v>
      </c>
      <c r="ED2" s="79">
        <v>0</v>
      </c>
      <c r="EE2" s="79">
        <v>0</v>
      </c>
      <c r="EF2" s="79">
        <v>1</v>
      </c>
      <c r="EG2" s="79">
        <v>0</v>
      </c>
      <c r="EH2" s="79">
        <v>1</v>
      </c>
      <c r="EI2" s="79">
        <v>1</v>
      </c>
      <c r="EJ2" s="79">
        <v>0</v>
      </c>
      <c r="EK2" s="79">
        <v>0</v>
      </c>
      <c r="EL2" s="79">
        <v>0</v>
      </c>
      <c r="EM2" s="79">
        <v>1</v>
      </c>
      <c r="EN2" s="79">
        <v>0</v>
      </c>
      <c r="EO2" s="79">
        <v>0</v>
      </c>
      <c r="EP2" s="79">
        <v>0</v>
      </c>
      <c r="EQ2" s="79">
        <v>0</v>
      </c>
      <c r="ER2" s="79">
        <v>0</v>
      </c>
      <c r="ES2" s="79">
        <v>1</v>
      </c>
      <c r="ET2" s="79">
        <v>0</v>
      </c>
      <c r="EU2" s="79">
        <v>41</v>
      </c>
      <c r="EV2" s="79">
        <v>8</v>
      </c>
      <c r="EW2" s="79">
        <v>0</v>
      </c>
      <c r="EX2" s="79">
        <v>0</v>
      </c>
      <c r="EY2" s="79">
        <v>6</v>
      </c>
      <c r="EZ2" s="79">
        <v>20</v>
      </c>
      <c r="FA2" s="79">
        <v>4</v>
      </c>
      <c r="FB2" s="79">
        <v>0</v>
      </c>
      <c r="FC2" s="79">
        <v>0</v>
      </c>
      <c r="FD2" s="79">
        <v>13</v>
      </c>
      <c r="FE2" s="79">
        <v>6</v>
      </c>
      <c r="FF2" s="79">
        <v>0</v>
      </c>
      <c r="FG2" s="79">
        <v>0</v>
      </c>
      <c r="FH2" s="79">
        <v>0</v>
      </c>
      <c r="FI2" s="79">
        <v>0</v>
      </c>
      <c r="FJ2" s="79">
        <v>0</v>
      </c>
      <c r="FK2" s="79">
        <v>0</v>
      </c>
    </row>
    <row r="3" spans="1:167" ht="15.75" customHeight="1" x14ac:dyDescent="0.35">
      <c r="A3" s="75" t="s">
        <v>100</v>
      </c>
      <c r="B3" s="76"/>
      <c r="C3" s="76"/>
      <c r="D3" s="77"/>
      <c r="E3" s="78"/>
      <c r="F3" s="78"/>
      <c r="G3" s="79"/>
      <c r="H3" s="78"/>
      <c r="I3" s="78"/>
      <c r="J3" s="78"/>
      <c r="K3" s="78"/>
      <c r="L3" s="78"/>
      <c r="M3" s="78"/>
      <c r="N3" s="78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>
        <v>3</v>
      </c>
      <c r="AL3" s="79">
        <v>31</v>
      </c>
      <c r="AM3" s="79">
        <v>101</v>
      </c>
      <c r="AN3" s="79">
        <v>37</v>
      </c>
      <c r="AO3" s="79">
        <v>8</v>
      </c>
      <c r="AP3" s="79">
        <v>15</v>
      </c>
      <c r="AQ3" s="79">
        <v>21</v>
      </c>
      <c r="AR3" s="79">
        <v>20</v>
      </c>
      <c r="AS3" s="79">
        <v>8</v>
      </c>
      <c r="AT3" s="79">
        <v>13</v>
      </c>
      <c r="AU3" s="79">
        <v>19</v>
      </c>
      <c r="AV3" s="79">
        <v>13</v>
      </c>
      <c r="AW3" s="79">
        <v>8</v>
      </c>
      <c r="AX3" s="79"/>
      <c r="AY3" s="79">
        <f>VLOOKUP(A3,[1]Sheet1!$A:$B,2,FALSE)</f>
        <v>82</v>
      </c>
      <c r="AZ3" s="79">
        <f>VLOOKUP(A3,[2]Sheet1!$A:$B,2,FALSE)</f>
        <v>33</v>
      </c>
      <c r="BA3" s="79">
        <f>VLOOKUP(A3,[3]Stats!$A:$B,2,FALSE)</f>
        <v>12</v>
      </c>
      <c r="BB3" s="79">
        <v>18</v>
      </c>
      <c r="BC3" s="79">
        <v>24</v>
      </c>
      <c r="BD3" s="79">
        <v>7</v>
      </c>
      <c r="BE3" s="79">
        <v>50</v>
      </c>
      <c r="BF3" s="79">
        <v>1</v>
      </c>
      <c r="BG3" s="79">
        <v>12</v>
      </c>
      <c r="BH3" s="79">
        <v>7</v>
      </c>
      <c r="BI3" s="79">
        <v>10</v>
      </c>
      <c r="BJ3" s="79">
        <v>5</v>
      </c>
      <c r="BK3" s="79">
        <v>7</v>
      </c>
      <c r="BL3" s="79">
        <v>37</v>
      </c>
      <c r="BM3" s="79">
        <v>15</v>
      </c>
      <c r="BN3" s="79">
        <v>9</v>
      </c>
      <c r="BO3" s="79">
        <v>26</v>
      </c>
      <c r="BP3" s="79">
        <v>32</v>
      </c>
      <c r="BQ3" s="79">
        <v>18</v>
      </c>
      <c r="BR3" s="79">
        <v>19</v>
      </c>
      <c r="BS3" s="79">
        <v>12</v>
      </c>
      <c r="BT3" s="79">
        <v>4</v>
      </c>
      <c r="BU3" s="79">
        <v>10</v>
      </c>
      <c r="BV3" s="79">
        <v>5</v>
      </c>
      <c r="BW3" s="79">
        <v>7</v>
      </c>
      <c r="BX3" s="79">
        <v>18</v>
      </c>
      <c r="BY3" s="79">
        <v>5</v>
      </c>
      <c r="BZ3" s="79">
        <v>1</v>
      </c>
      <c r="CA3" s="79">
        <v>5</v>
      </c>
      <c r="CB3" s="79">
        <v>4</v>
      </c>
      <c r="CC3" s="79">
        <v>2</v>
      </c>
      <c r="CD3" s="79">
        <v>37</v>
      </c>
      <c r="CE3" s="79">
        <v>2</v>
      </c>
      <c r="CF3" s="79">
        <v>9</v>
      </c>
      <c r="CG3" s="79">
        <v>20</v>
      </c>
      <c r="CH3" s="79">
        <v>16</v>
      </c>
      <c r="CI3" s="79">
        <v>3</v>
      </c>
      <c r="CJ3" s="79">
        <v>0</v>
      </c>
      <c r="CK3" s="79">
        <v>10</v>
      </c>
      <c r="CL3" s="79">
        <v>4</v>
      </c>
      <c r="CM3" s="79">
        <v>7</v>
      </c>
      <c r="CN3" s="79">
        <v>2</v>
      </c>
      <c r="CO3" s="79">
        <v>24</v>
      </c>
      <c r="CP3" s="79">
        <v>22</v>
      </c>
      <c r="CQ3" s="79">
        <v>12</v>
      </c>
      <c r="CR3" s="79">
        <v>11</v>
      </c>
      <c r="CS3" s="79">
        <v>14</v>
      </c>
      <c r="CT3" s="79">
        <v>10</v>
      </c>
      <c r="CU3" s="79">
        <v>34</v>
      </c>
      <c r="CV3" s="79">
        <v>6</v>
      </c>
      <c r="CW3" s="79">
        <v>1</v>
      </c>
      <c r="CX3" s="79">
        <v>5</v>
      </c>
      <c r="CY3" s="79">
        <v>2</v>
      </c>
      <c r="CZ3" s="79">
        <v>12</v>
      </c>
      <c r="DA3" s="79">
        <v>6</v>
      </c>
      <c r="DB3" s="79">
        <v>12</v>
      </c>
      <c r="DC3" s="79">
        <v>35</v>
      </c>
      <c r="DD3" s="79">
        <v>47</v>
      </c>
      <c r="DE3" s="79">
        <v>23</v>
      </c>
      <c r="DF3" s="79">
        <v>11</v>
      </c>
      <c r="DG3" s="79">
        <v>16</v>
      </c>
      <c r="DH3" s="79">
        <v>27</v>
      </c>
      <c r="DI3" s="79">
        <v>20</v>
      </c>
      <c r="DJ3" s="79">
        <v>4</v>
      </c>
      <c r="DK3" s="79">
        <v>12</v>
      </c>
      <c r="DL3" s="79">
        <v>12</v>
      </c>
      <c r="DM3" s="79">
        <v>53</v>
      </c>
      <c r="DN3" s="79">
        <v>10</v>
      </c>
      <c r="DO3" s="79">
        <v>20</v>
      </c>
      <c r="DP3" s="79">
        <v>21</v>
      </c>
      <c r="DQ3" s="79">
        <v>24</v>
      </c>
      <c r="DR3" s="79">
        <v>18</v>
      </c>
      <c r="DS3" s="79">
        <v>7</v>
      </c>
      <c r="DT3" s="79">
        <v>22</v>
      </c>
      <c r="DU3" s="79">
        <v>39</v>
      </c>
      <c r="DV3" s="79">
        <v>18</v>
      </c>
      <c r="DW3" s="79">
        <v>9</v>
      </c>
      <c r="DX3" s="79">
        <v>37</v>
      </c>
      <c r="DY3" s="79">
        <v>52</v>
      </c>
      <c r="DZ3" s="79">
        <v>9</v>
      </c>
      <c r="EA3" s="79">
        <v>34</v>
      </c>
      <c r="EB3" s="79">
        <v>13</v>
      </c>
      <c r="EC3" s="79">
        <v>18</v>
      </c>
      <c r="ED3" s="79">
        <v>14</v>
      </c>
      <c r="EE3" s="79">
        <v>10</v>
      </c>
      <c r="EF3" s="79">
        <v>19</v>
      </c>
      <c r="EG3" s="79">
        <v>10</v>
      </c>
      <c r="EH3" s="79">
        <v>22</v>
      </c>
      <c r="EI3" s="79">
        <v>18</v>
      </c>
      <c r="EJ3" s="79">
        <v>31</v>
      </c>
      <c r="EK3" s="79">
        <v>9</v>
      </c>
      <c r="EL3" s="79">
        <v>9</v>
      </c>
      <c r="EM3" s="79">
        <v>14</v>
      </c>
      <c r="EN3" s="79">
        <v>22</v>
      </c>
      <c r="EO3" s="79">
        <v>26</v>
      </c>
      <c r="EP3" s="79">
        <v>60</v>
      </c>
      <c r="EQ3" s="79">
        <v>86</v>
      </c>
      <c r="ER3" s="79">
        <v>119</v>
      </c>
      <c r="ES3" s="79">
        <v>27</v>
      </c>
      <c r="ET3" s="79">
        <v>77</v>
      </c>
      <c r="EU3" s="79">
        <v>168</v>
      </c>
      <c r="EV3" s="79">
        <v>87</v>
      </c>
      <c r="EW3" s="79">
        <v>48</v>
      </c>
      <c r="EX3" s="79">
        <v>39</v>
      </c>
      <c r="EY3" s="79">
        <v>37</v>
      </c>
      <c r="EZ3" s="79">
        <v>162</v>
      </c>
      <c r="FA3" s="79">
        <v>45</v>
      </c>
      <c r="FB3" s="79">
        <v>60</v>
      </c>
      <c r="FC3" s="79">
        <v>81</v>
      </c>
      <c r="FD3" s="79">
        <v>101</v>
      </c>
      <c r="FE3" s="79">
        <v>82</v>
      </c>
      <c r="FF3" s="79">
        <v>33</v>
      </c>
      <c r="FG3" s="79">
        <v>67</v>
      </c>
      <c r="FH3" s="79">
        <v>97</v>
      </c>
      <c r="FI3" s="79">
        <v>82</v>
      </c>
      <c r="FJ3" s="79">
        <v>82</v>
      </c>
      <c r="FK3" s="79">
        <v>88</v>
      </c>
    </row>
    <row r="4" spans="1:167" ht="15.75" customHeight="1" x14ac:dyDescent="0.35">
      <c r="A4" s="75" t="s">
        <v>99</v>
      </c>
      <c r="B4" s="76"/>
      <c r="C4" s="76">
        <v>7</v>
      </c>
      <c r="D4" s="77">
        <v>8</v>
      </c>
      <c r="E4" s="78">
        <v>5</v>
      </c>
      <c r="F4" s="78">
        <v>33</v>
      </c>
      <c r="G4" s="79">
        <v>30</v>
      </c>
      <c r="H4" s="78"/>
      <c r="I4" s="78">
        <v>2</v>
      </c>
      <c r="J4" s="78">
        <v>4</v>
      </c>
      <c r="K4" s="78">
        <v>7</v>
      </c>
      <c r="L4" s="78">
        <v>4</v>
      </c>
      <c r="M4" s="78">
        <v>1</v>
      </c>
      <c r="N4" s="78">
        <v>2</v>
      </c>
      <c r="O4" s="79">
        <v>13</v>
      </c>
      <c r="P4" s="79">
        <v>4</v>
      </c>
      <c r="Q4" s="79">
        <v>1</v>
      </c>
      <c r="R4" s="79">
        <v>4</v>
      </c>
      <c r="S4" s="79">
        <v>9</v>
      </c>
      <c r="T4" s="79">
        <v>13</v>
      </c>
      <c r="U4" s="79">
        <v>35</v>
      </c>
      <c r="V4" s="79">
        <v>7</v>
      </c>
      <c r="W4" s="79">
        <v>4</v>
      </c>
      <c r="X4" s="79">
        <v>26</v>
      </c>
      <c r="Y4" s="79">
        <v>2</v>
      </c>
      <c r="Z4" s="79">
        <v>19</v>
      </c>
      <c r="AA4" s="79">
        <v>98</v>
      </c>
      <c r="AB4" s="79">
        <v>14</v>
      </c>
      <c r="AC4" s="79">
        <v>6</v>
      </c>
      <c r="AD4" s="79">
        <v>5</v>
      </c>
      <c r="AE4" s="79">
        <v>10</v>
      </c>
      <c r="AF4" s="79">
        <v>13</v>
      </c>
      <c r="AG4" s="79">
        <v>13</v>
      </c>
      <c r="AH4" s="79">
        <v>5</v>
      </c>
      <c r="AI4" s="79">
        <v>4</v>
      </c>
      <c r="AJ4" s="79">
        <v>2</v>
      </c>
      <c r="AK4" s="79">
        <v>4</v>
      </c>
      <c r="AL4" s="79">
        <v>15</v>
      </c>
      <c r="AM4" s="79">
        <v>6</v>
      </c>
      <c r="AN4" s="79">
        <v>17</v>
      </c>
      <c r="AO4" s="79">
        <v>12</v>
      </c>
      <c r="AP4" s="79">
        <v>19</v>
      </c>
      <c r="AQ4" s="79">
        <v>2</v>
      </c>
      <c r="AR4" s="79">
        <v>5</v>
      </c>
      <c r="AS4" s="79">
        <v>8</v>
      </c>
      <c r="AT4" s="79">
        <v>4</v>
      </c>
      <c r="AU4" s="79">
        <v>4</v>
      </c>
      <c r="AV4" s="79">
        <v>2</v>
      </c>
      <c r="AW4" s="79">
        <v>7</v>
      </c>
      <c r="AX4" s="79"/>
      <c r="AY4" s="79">
        <f>VLOOKUP(A4,[1]Sheet1!$A:$B,2,FALSE)</f>
        <v>4</v>
      </c>
      <c r="AZ4" s="79">
        <f>VLOOKUP(A4,[2]Sheet1!$A:$B,2,FALSE)</f>
        <v>4</v>
      </c>
      <c r="BA4" s="79">
        <f>VLOOKUP(A4,[3]Stats!$A:$B,2,FALSE)</f>
        <v>3</v>
      </c>
      <c r="BB4" s="79">
        <v>2</v>
      </c>
      <c r="BC4" s="79">
        <v>7</v>
      </c>
      <c r="BD4" s="79">
        <v>5</v>
      </c>
      <c r="BE4" s="79">
        <v>3</v>
      </c>
      <c r="BF4" s="79">
        <v>10</v>
      </c>
      <c r="BG4" s="79">
        <v>10</v>
      </c>
      <c r="BH4" s="79">
        <v>17</v>
      </c>
      <c r="BI4" s="79">
        <v>31</v>
      </c>
      <c r="BJ4" s="79">
        <v>11</v>
      </c>
      <c r="BK4" s="79">
        <v>20</v>
      </c>
      <c r="BL4" s="79">
        <v>18</v>
      </c>
      <c r="BM4" s="79">
        <v>12</v>
      </c>
      <c r="BN4" s="79">
        <v>10</v>
      </c>
      <c r="BO4" s="79">
        <v>9</v>
      </c>
      <c r="BP4" s="79">
        <v>17</v>
      </c>
      <c r="BQ4" s="79">
        <v>3</v>
      </c>
      <c r="BR4" s="79">
        <v>11</v>
      </c>
      <c r="BS4" s="79">
        <v>14</v>
      </c>
      <c r="BT4" s="79">
        <v>0</v>
      </c>
      <c r="BU4" s="79">
        <v>8</v>
      </c>
      <c r="BV4" s="79">
        <v>12</v>
      </c>
      <c r="BW4" s="79">
        <v>17</v>
      </c>
      <c r="BX4" s="79">
        <v>3</v>
      </c>
      <c r="BY4" s="79">
        <v>12</v>
      </c>
      <c r="BZ4" s="79">
        <v>8</v>
      </c>
      <c r="CA4" s="79">
        <v>7</v>
      </c>
      <c r="CB4" s="79">
        <v>8</v>
      </c>
      <c r="CC4" s="79">
        <v>4</v>
      </c>
      <c r="CD4" s="79">
        <v>8</v>
      </c>
      <c r="CE4" s="79">
        <v>7</v>
      </c>
      <c r="CF4" s="79">
        <v>2</v>
      </c>
      <c r="CG4" s="79">
        <v>2</v>
      </c>
      <c r="CH4" s="79">
        <v>4</v>
      </c>
      <c r="CI4" s="79">
        <v>5</v>
      </c>
      <c r="CJ4" s="79">
        <v>26</v>
      </c>
      <c r="CK4" s="79">
        <v>5</v>
      </c>
      <c r="CL4" s="79">
        <v>1</v>
      </c>
      <c r="CM4" s="79">
        <v>1</v>
      </c>
      <c r="CN4" s="79">
        <v>11</v>
      </c>
      <c r="CO4" s="79">
        <v>27</v>
      </c>
      <c r="CP4" s="79">
        <v>0</v>
      </c>
      <c r="CQ4" s="79">
        <v>2</v>
      </c>
      <c r="CR4" s="79">
        <v>3</v>
      </c>
      <c r="CS4" s="79">
        <v>0</v>
      </c>
      <c r="CT4" s="79">
        <v>10</v>
      </c>
      <c r="CU4" s="79">
        <v>8</v>
      </c>
      <c r="CV4" s="79">
        <v>2</v>
      </c>
      <c r="CW4" s="79">
        <v>1</v>
      </c>
      <c r="CX4" s="79">
        <v>2</v>
      </c>
      <c r="CY4" s="79">
        <v>38</v>
      </c>
      <c r="CZ4" s="79">
        <v>11</v>
      </c>
      <c r="DA4" s="79">
        <v>12</v>
      </c>
      <c r="DB4" s="79">
        <v>9</v>
      </c>
      <c r="DC4" s="79">
        <v>25</v>
      </c>
      <c r="DD4" s="79">
        <v>6</v>
      </c>
      <c r="DE4" s="79">
        <v>0</v>
      </c>
      <c r="DF4" s="79">
        <v>3</v>
      </c>
      <c r="DG4" s="79">
        <v>6</v>
      </c>
      <c r="DH4" s="79">
        <v>3</v>
      </c>
      <c r="DI4" s="79">
        <v>9</v>
      </c>
      <c r="DJ4" s="79">
        <v>8</v>
      </c>
      <c r="DK4" s="79">
        <v>10</v>
      </c>
      <c r="DL4" s="79">
        <v>9</v>
      </c>
      <c r="DM4" s="79">
        <v>4</v>
      </c>
      <c r="DN4" s="79">
        <v>14</v>
      </c>
      <c r="DO4" s="79">
        <v>3</v>
      </c>
      <c r="DP4" s="79">
        <v>7</v>
      </c>
      <c r="DQ4" s="79">
        <v>5</v>
      </c>
      <c r="DR4" s="79">
        <v>7</v>
      </c>
      <c r="DS4" s="79">
        <v>11</v>
      </c>
      <c r="DT4" s="79">
        <v>14</v>
      </c>
      <c r="DU4" s="79">
        <v>8</v>
      </c>
      <c r="DV4" s="79">
        <v>16</v>
      </c>
      <c r="DW4" s="79">
        <v>10</v>
      </c>
      <c r="DX4" s="79">
        <v>11</v>
      </c>
      <c r="DY4" s="79">
        <v>3</v>
      </c>
      <c r="DZ4" s="79">
        <v>1</v>
      </c>
      <c r="EA4" s="79">
        <v>7</v>
      </c>
      <c r="EB4" s="79">
        <v>15</v>
      </c>
      <c r="EC4" s="79">
        <v>27</v>
      </c>
      <c r="ED4" s="79">
        <v>5</v>
      </c>
      <c r="EE4" s="79">
        <v>8</v>
      </c>
      <c r="EF4" s="79">
        <v>10</v>
      </c>
      <c r="EG4" s="79">
        <v>5</v>
      </c>
      <c r="EH4" s="79">
        <v>10</v>
      </c>
      <c r="EI4" s="79">
        <v>47</v>
      </c>
      <c r="EJ4" s="79">
        <v>17</v>
      </c>
      <c r="EK4" s="79">
        <v>6</v>
      </c>
      <c r="EL4" s="79">
        <v>14</v>
      </c>
      <c r="EM4" s="79">
        <v>32</v>
      </c>
      <c r="EN4" s="79">
        <v>53</v>
      </c>
      <c r="EO4" s="79">
        <v>144</v>
      </c>
      <c r="EP4" s="79">
        <v>58</v>
      </c>
      <c r="EQ4" s="79">
        <v>46</v>
      </c>
      <c r="ER4" s="79">
        <v>127</v>
      </c>
      <c r="ES4" s="79">
        <v>36</v>
      </c>
      <c r="ET4" s="79">
        <v>35</v>
      </c>
      <c r="EU4" s="79">
        <v>38</v>
      </c>
      <c r="EV4" s="79">
        <v>61</v>
      </c>
      <c r="EW4" s="79">
        <v>51</v>
      </c>
      <c r="EX4" s="79">
        <v>45</v>
      </c>
      <c r="EY4" s="79">
        <v>35</v>
      </c>
      <c r="EZ4" s="79">
        <v>42</v>
      </c>
      <c r="FA4" s="79">
        <v>71</v>
      </c>
      <c r="FB4" s="79">
        <v>59</v>
      </c>
      <c r="FC4" s="79">
        <v>249</v>
      </c>
      <c r="FD4" s="79">
        <v>111</v>
      </c>
      <c r="FE4" s="79">
        <v>104</v>
      </c>
      <c r="FF4" s="79">
        <v>103</v>
      </c>
      <c r="FG4" s="79">
        <v>223</v>
      </c>
      <c r="FH4" s="79">
        <v>38</v>
      </c>
      <c r="FI4" s="79">
        <v>33</v>
      </c>
      <c r="FJ4" s="79">
        <v>38</v>
      </c>
      <c r="FK4" s="79">
        <v>25</v>
      </c>
    </row>
    <row r="5" spans="1:167" ht="15.75" customHeight="1" x14ac:dyDescent="0.35">
      <c r="A5" s="75" t="s">
        <v>199</v>
      </c>
      <c r="B5" s="76"/>
      <c r="C5" s="76"/>
      <c r="D5" s="77"/>
      <c r="E5" s="78"/>
      <c r="F5" s="78"/>
      <c r="G5" s="79"/>
      <c r="H5" s="78"/>
      <c r="I5" s="78"/>
      <c r="J5" s="78"/>
      <c r="K5" s="78"/>
      <c r="L5" s="78"/>
      <c r="M5" s="78"/>
      <c r="N5" s="78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>
        <v>1</v>
      </c>
      <c r="BD5" s="79"/>
      <c r="BE5" s="79"/>
      <c r="BF5" s="79"/>
      <c r="BG5" s="79">
        <v>1</v>
      </c>
      <c r="BH5" s="79"/>
      <c r="BI5" s="79"/>
      <c r="BJ5" s="79">
        <v>0</v>
      </c>
      <c r="BK5" s="79">
        <v>0</v>
      </c>
      <c r="BL5" s="79">
        <v>0</v>
      </c>
      <c r="BM5" s="79">
        <v>0</v>
      </c>
      <c r="BN5" s="79">
        <v>1</v>
      </c>
      <c r="BO5" s="79">
        <v>2</v>
      </c>
      <c r="BP5" s="79">
        <v>0</v>
      </c>
      <c r="BQ5" s="79">
        <v>1</v>
      </c>
      <c r="BR5" s="79">
        <v>0</v>
      </c>
      <c r="BS5" s="79">
        <v>0</v>
      </c>
      <c r="BT5" s="79">
        <v>0</v>
      </c>
      <c r="BU5" s="79">
        <v>0</v>
      </c>
      <c r="BV5" s="79">
        <v>1</v>
      </c>
      <c r="BW5" s="79">
        <v>2</v>
      </c>
      <c r="BX5" s="79">
        <v>0</v>
      </c>
      <c r="BY5" s="79">
        <v>0</v>
      </c>
      <c r="BZ5" s="79">
        <v>1</v>
      </c>
      <c r="CA5" s="79">
        <v>0</v>
      </c>
      <c r="CB5" s="79">
        <v>0</v>
      </c>
      <c r="CC5" s="79">
        <v>1</v>
      </c>
      <c r="CD5" s="79">
        <v>0</v>
      </c>
      <c r="CE5" s="79">
        <v>0</v>
      </c>
      <c r="CF5" s="79">
        <v>0</v>
      </c>
      <c r="CG5" s="79">
        <v>0</v>
      </c>
      <c r="CH5" s="79">
        <v>0</v>
      </c>
      <c r="CI5" s="79">
        <v>0</v>
      </c>
      <c r="CJ5" s="79">
        <v>0</v>
      </c>
      <c r="CK5" s="79">
        <v>0</v>
      </c>
      <c r="CL5" s="79">
        <v>1</v>
      </c>
      <c r="CM5" s="79">
        <v>1</v>
      </c>
      <c r="CN5" s="79">
        <v>0</v>
      </c>
      <c r="CO5" s="79">
        <v>0</v>
      </c>
      <c r="CP5" s="79">
        <v>1</v>
      </c>
      <c r="CQ5" s="79">
        <v>2</v>
      </c>
      <c r="CR5" s="79">
        <v>1</v>
      </c>
      <c r="CS5" s="79">
        <v>1</v>
      </c>
      <c r="CT5" s="79">
        <v>1</v>
      </c>
      <c r="CU5" s="79">
        <v>0</v>
      </c>
      <c r="CV5" s="79">
        <v>0</v>
      </c>
      <c r="CW5" s="79">
        <v>0</v>
      </c>
      <c r="CX5" s="79">
        <v>1</v>
      </c>
      <c r="CY5" s="79">
        <v>0</v>
      </c>
      <c r="CZ5" s="79">
        <v>1</v>
      </c>
      <c r="DA5" s="79">
        <v>0</v>
      </c>
      <c r="DB5" s="79">
        <v>0</v>
      </c>
      <c r="DC5" s="79">
        <v>1</v>
      </c>
      <c r="DD5" s="79">
        <v>9</v>
      </c>
      <c r="DE5" s="79">
        <v>5</v>
      </c>
      <c r="DF5" s="79">
        <v>4</v>
      </c>
      <c r="DG5" s="79">
        <v>2</v>
      </c>
      <c r="DH5" s="79">
        <v>3</v>
      </c>
      <c r="DI5" s="79">
        <v>2</v>
      </c>
      <c r="DJ5" s="79">
        <v>0</v>
      </c>
      <c r="DK5" s="79">
        <v>3</v>
      </c>
      <c r="DL5" s="79">
        <v>3</v>
      </c>
      <c r="DM5" s="79">
        <v>2</v>
      </c>
      <c r="DN5" s="79">
        <v>1</v>
      </c>
      <c r="DO5" s="79">
        <v>3</v>
      </c>
      <c r="DP5" s="79">
        <v>26</v>
      </c>
      <c r="DQ5" s="79">
        <v>79</v>
      </c>
      <c r="DR5" s="79">
        <v>0</v>
      </c>
      <c r="DS5" s="79">
        <v>1</v>
      </c>
      <c r="DT5" s="79">
        <v>3</v>
      </c>
      <c r="DU5" s="79">
        <v>58</v>
      </c>
      <c r="DV5" s="79">
        <v>0</v>
      </c>
      <c r="DW5" s="79">
        <v>5</v>
      </c>
      <c r="DX5" s="79">
        <v>0</v>
      </c>
      <c r="DY5" s="79">
        <v>0</v>
      </c>
      <c r="DZ5" s="79">
        <v>3</v>
      </c>
      <c r="EA5" s="79">
        <v>3</v>
      </c>
      <c r="EB5" s="79">
        <v>0</v>
      </c>
      <c r="EC5" s="79">
        <v>2</v>
      </c>
      <c r="ED5" s="79">
        <v>2</v>
      </c>
      <c r="EE5" s="79">
        <v>2</v>
      </c>
      <c r="EF5" s="79">
        <v>2</v>
      </c>
      <c r="EG5" s="79">
        <v>2</v>
      </c>
      <c r="EH5" s="79">
        <v>1</v>
      </c>
      <c r="EI5" s="79">
        <v>1</v>
      </c>
      <c r="EJ5" s="79">
        <v>0</v>
      </c>
      <c r="EK5" s="79">
        <v>0</v>
      </c>
      <c r="EL5" s="79">
        <v>0</v>
      </c>
      <c r="EM5" s="79">
        <v>0</v>
      </c>
      <c r="EN5" s="79">
        <v>0</v>
      </c>
      <c r="EO5" s="79">
        <v>2</v>
      </c>
      <c r="EP5" s="79">
        <v>1</v>
      </c>
      <c r="EQ5" s="79">
        <v>1</v>
      </c>
      <c r="ER5" s="79">
        <v>55</v>
      </c>
      <c r="ES5" s="79">
        <v>0</v>
      </c>
      <c r="ET5" s="79">
        <v>6</v>
      </c>
      <c r="EU5" s="79">
        <v>3</v>
      </c>
      <c r="EV5" s="79">
        <v>1</v>
      </c>
      <c r="EW5" s="79">
        <v>2</v>
      </c>
      <c r="EX5" s="79">
        <v>1</v>
      </c>
      <c r="EY5" s="79">
        <v>0</v>
      </c>
      <c r="EZ5" s="79">
        <v>1</v>
      </c>
      <c r="FA5" s="79">
        <v>2</v>
      </c>
      <c r="FB5" s="79">
        <v>4</v>
      </c>
      <c r="FC5" s="79">
        <v>1</v>
      </c>
      <c r="FD5" s="79">
        <v>1</v>
      </c>
      <c r="FE5" s="79">
        <v>2</v>
      </c>
      <c r="FF5" s="79">
        <v>6</v>
      </c>
      <c r="FG5" s="79">
        <v>2</v>
      </c>
      <c r="FH5" s="79">
        <v>0</v>
      </c>
      <c r="FI5" s="79">
        <v>1</v>
      </c>
      <c r="FJ5" s="79">
        <v>12</v>
      </c>
      <c r="FK5" s="79">
        <v>5</v>
      </c>
    </row>
    <row r="6" spans="1:167" ht="15.75" customHeight="1" x14ac:dyDescent="0.35">
      <c r="A6" s="75" t="s">
        <v>103</v>
      </c>
      <c r="B6" s="76">
        <v>2</v>
      </c>
      <c r="C6" s="76"/>
      <c r="D6" s="77">
        <v>3</v>
      </c>
      <c r="E6" s="78">
        <v>1</v>
      </c>
      <c r="F6" s="78">
        <v>3</v>
      </c>
      <c r="G6" s="79"/>
      <c r="H6" s="78">
        <v>3</v>
      </c>
      <c r="I6" s="78">
        <v>4</v>
      </c>
      <c r="J6" s="78">
        <v>3</v>
      </c>
      <c r="K6" s="78">
        <v>4</v>
      </c>
      <c r="L6" s="78">
        <v>4</v>
      </c>
      <c r="M6" s="78">
        <v>3</v>
      </c>
      <c r="N6" s="78">
        <v>3</v>
      </c>
      <c r="O6" s="79">
        <v>2</v>
      </c>
      <c r="P6" s="79">
        <v>2</v>
      </c>
      <c r="Q6" s="79">
        <v>2</v>
      </c>
      <c r="R6" s="79">
        <v>1</v>
      </c>
      <c r="S6" s="79">
        <v>17</v>
      </c>
      <c r="T6" s="79">
        <v>1</v>
      </c>
      <c r="U6" s="79">
        <v>29</v>
      </c>
      <c r="V6" s="79"/>
      <c r="W6" s="79">
        <v>46</v>
      </c>
      <c r="X6" s="79">
        <v>49</v>
      </c>
      <c r="Y6" s="79">
        <v>82</v>
      </c>
      <c r="Z6" s="79">
        <v>97</v>
      </c>
      <c r="AA6" s="79">
        <v>121</v>
      </c>
      <c r="AB6" s="79">
        <v>53</v>
      </c>
      <c r="AC6" s="79">
        <v>71</v>
      </c>
      <c r="AD6" s="79">
        <v>96</v>
      </c>
      <c r="AE6" s="79">
        <v>54</v>
      </c>
      <c r="AF6" s="79">
        <v>72</v>
      </c>
      <c r="AG6" s="79">
        <v>64</v>
      </c>
      <c r="AH6" s="79">
        <v>74</v>
      </c>
      <c r="AI6" s="79">
        <v>60</v>
      </c>
      <c r="AJ6" s="79">
        <v>137</v>
      </c>
      <c r="AK6" s="79">
        <v>93</v>
      </c>
      <c r="AL6" s="79">
        <v>142</v>
      </c>
      <c r="AM6" s="79">
        <v>107</v>
      </c>
      <c r="AN6" s="79">
        <v>85</v>
      </c>
      <c r="AO6" s="79">
        <v>77</v>
      </c>
      <c r="AP6" s="79">
        <v>71</v>
      </c>
      <c r="AQ6" s="79">
        <v>60</v>
      </c>
      <c r="AR6" s="79">
        <v>72</v>
      </c>
      <c r="AS6" s="79">
        <v>86</v>
      </c>
      <c r="AT6" s="79">
        <v>109</v>
      </c>
      <c r="AU6" s="79">
        <v>106</v>
      </c>
      <c r="AV6" s="79">
        <v>176</v>
      </c>
      <c r="AW6" s="79">
        <v>134</v>
      </c>
      <c r="AX6" s="79"/>
      <c r="AY6" s="79">
        <f>VLOOKUP(A6,[1]Sheet1!$A:$B,2,FALSE)</f>
        <v>172</v>
      </c>
      <c r="AZ6" s="79">
        <f>VLOOKUP(A6,[2]Sheet1!$A:$B,2,FALSE)</f>
        <v>112</v>
      </c>
      <c r="BA6" s="79">
        <f>VLOOKUP(A6,[3]Stats!$A:$B,2,FALSE)</f>
        <v>91</v>
      </c>
      <c r="BB6" s="79">
        <v>78</v>
      </c>
      <c r="BC6" s="79">
        <v>96</v>
      </c>
      <c r="BD6" s="79">
        <v>80</v>
      </c>
      <c r="BE6" s="79">
        <v>65</v>
      </c>
      <c r="BF6" s="79">
        <v>48</v>
      </c>
      <c r="BG6" s="79">
        <v>58</v>
      </c>
      <c r="BH6" s="79">
        <v>52</v>
      </c>
      <c r="BI6" s="79">
        <v>63</v>
      </c>
      <c r="BJ6" s="79">
        <v>57</v>
      </c>
      <c r="BK6" s="79">
        <v>36</v>
      </c>
      <c r="BL6" s="79">
        <v>86</v>
      </c>
      <c r="BM6" s="79">
        <v>102</v>
      </c>
      <c r="BN6" s="79">
        <v>64</v>
      </c>
      <c r="BO6" s="79">
        <v>56</v>
      </c>
      <c r="BP6" s="79">
        <v>86</v>
      </c>
      <c r="BQ6" s="79">
        <v>45</v>
      </c>
      <c r="BR6" s="79">
        <v>52</v>
      </c>
      <c r="BS6" s="79">
        <v>53</v>
      </c>
      <c r="BT6" s="79">
        <v>127</v>
      </c>
      <c r="BU6" s="79">
        <v>62</v>
      </c>
      <c r="BV6" s="79">
        <v>63</v>
      </c>
      <c r="BW6" s="79">
        <v>69</v>
      </c>
      <c r="BX6" s="79">
        <v>110</v>
      </c>
      <c r="BY6" s="79">
        <v>99</v>
      </c>
      <c r="BZ6" s="79">
        <v>55</v>
      </c>
      <c r="CA6" s="79">
        <v>65</v>
      </c>
      <c r="CB6" s="79">
        <v>136</v>
      </c>
      <c r="CC6" s="79">
        <v>92</v>
      </c>
      <c r="CD6" s="79">
        <v>102</v>
      </c>
      <c r="CE6" s="79">
        <v>93</v>
      </c>
      <c r="CF6" s="79">
        <v>79</v>
      </c>
      <c r="CG6" s="79">
        <v>260</v>
      </c>
      <c r="CH6" s="79">
        <v>196</v>
      </c>
      <c r="CI6" s="79">
        <v>191</v>
      </c>
      <c r="CJ6" s="79">
        <v>168</v>
      </c>
      <c r="CK6" s="79">
        <v>127</v>
      </c>
      <c r="CL6" s="79">
        <v>129</v>
      </c>
      <c r="CM6" s="79">
        <v>135</v>
      </c>
      <c r="CN6" s="79">
        <v>265</v>
      </c>
      <c r="CO6" s="79">
        <v>264</v>
      </c>
      <c r="CP6" s="79">
        <v>212</v>
      </c>
      <c r="CQ6" s="79">
        <v>271</v>
      </c>
      <c r="CR6" s="79">
        <v>112</v>
      </c>
      <c r="CS6" s="79">
        <v>115</v>
      </c>
      <c r="CT6" s="79">
        <v>139</v>
      </c>
      <c r="CU6" s="79">
        <v>150</v>
      </c>
      <c r="CV6" s="79">
        <v>164</v>
      </c>
      <c r="CW6" s="79">
        <v>78</v>
      </c>
      <c r="CX6" s="79">
        <v>81</v>
      </c>
      <c r="CY6" s="79">
        <v>63</v>
      </c>
      <c r="CZ6" s="79">
        <v>46</v>
      </c>
      <c r="DA6" s="79">
        <v>248</v>
      </c>
      <c r="DB6" s="79">
        <v>76</v>
      </c>
      <c r="DC6" s="79">
        <v>62</v>
      </c>
      <c r="DD6" s="79">
        <v>46</v>
      </c>
      <c r="DE6" s="79">
        <v>154</v>
      </c>
      <c r="DF6" s="79">
        <v>66</v>
      </c>
      <c r="DG6" s="79">
        <v>166</v>
      </c>
      <c r="DH6" s="79">
        <v>78</v>
      </c>
      <c r="DI6" s="79">
        <v>63</v>
      </c>
      <c r="DJ6" s="79">
        <v>91</v>
      </c>
      <c r="DK6" s="79">
        <v>34</v>
      </c>
      <c r="DL6" s="79">
        <v>62</v>
      </c>
      <c r="DM6" s="79">
        <v>203</v>
      </c>
      <c r="DN6" s="79">
        <v>97</v>
      </c>
      <c r="DO6" s="79">
        <v>493</v>
      </c>
      <c r="DP6" s="79">
        <v>28</v>
      </c>
      <c r="DQ6" s="79">
        <v>30</v>
      </c>
      <c r="DR6" s="79">
        <v>31</v>
      </c>
      <c r="DS6" s="79">
        <v>132</v>
      </c>
      <c r="DT6" s="79">
        <v>61</v>
      </c>
      <c r="DU6" s="79">
        <v>39</v>
      </c>
      <c r="DV6" s="79">
        <v>5400</v>
      </c>
      <c r="DW6" s="79">
        <v>117</v>
      </c>
      <c r="DX6" s="79">
        <v>83</v>
      </c>
      <c r="DY6" s="79">
        <v>99</v>
      </c>
      <c r="DZ6" s="79">
        <v>155</v>
      </c>
      <c r="EA6" s="79">
        <v>2718</v>
      </c>
      <c r="EB6" s="79">
        <v>147</v>
      </c>
      <c r="EC6" s="79">
        <v>114</v>
      </c>
      <c r="ED6" s="79">
        <v>132</v>
      </c>
      <c r="EE6" s="79">
        <v>79</v>
      </c>
      <c r="EF6" s="79">
        <v>87</v>
      </c>
      <c r="EG6" s="79">
        <v>93</v>
      </c>
      <c r="EH6" s="79">
        <v>241</v>
      </c>
      <c r="EI6" s="79">
        <v>107</v>
      </c>
      <c r="EJ6" s="79">
        <v>68</v>
      </c>
      <c r="EK6" s="79">
        <v>57</v>
      </c>
      <c r="EL6" s="79">
        <v>177</v>
      </c>
      <c r="EM6" s="79">
        <v>183</v>
      </c>
      <c r="EN6" s="79">
        <v>180</v>
      </c>
      <c r="EO6" s="79">
        <v>228</v>
      </c>
      <c r="EP6" s="79">
        <v>262</v>
      </c>
      <c r="EQ6" s="79">
        <v>314</v>
      </c>
      <c r="ER6" s="79">
        <v>195</v>
      </c>
      <c r="ES6" s="79">
        <v>147</v>
      </c>
      <c r="ET6" s="79">
        <v>157</v>
      </c>
      <c r="EU6" s="79">
        <v>361</v>
      </c>
      <c r="EV6" s="79">
        <v>180</v>
      </c>
      <c r="EW6" s="79">
        <v>218</v>
      </c>
      <c r="EX6" s="79">
        <v>352</v>
      </c>
      <c r="EY6" s="79">
        <v>321</v>
      </c>
      <c r="EZ6" s="79">
        <v>370</v>
      </c>
      <c r="FA6" s="79">
        <v>13</v>
      </c>
      <c r="FB6" s="79">
        <v>10</v>
      </c>
      <c r="FC6" s="79">
        <v>6</v>
      </c>
      <c r="FD6" s="79">
        <v>6</v>
      </c>
      <c r="FE6" s="79">
        <v>77</v>
      </c>
      <c r="FF6" s="79">
        <v>46</v>
      </c>
      <c r="FG6" s="79">
        <v>231</v>
      </c>
      <c r="FH6" s="79">
        <v>562</v>
      </c>
      <c r="FI6" s="79">
        <v>5</v>
      </c>
      <c r="FJ6" s="79">
        <v>5</v>
      </c>
      <c r="FK6" s="79">
        <v>6</v>
      </c>
    </row>
    <row r="7" spans="1:167" ht="15.75" customHeight="1" x14ac:dyDescent="0.35">
      <c r="A7" s="75" t="s">
        <v>200</v>
      </c>
      <c r="B7" s="76"/>
      <c r="C7" s="76"/>
      <c r="D7" s="77"/>
      <c r="E7" s="78"/>
      <c r="F7" s="78"/>
      <c r="G7" s="79"/>
      <c r="H7" s="78"/>
      <c r="I7" s="78"/>
      <c r="J7" s="78"/>
      <c r="K7" s="78"/>
      <c r="L7" s="78"/>
      <c r="M7" s="78"/>
      <c r="N7" s="78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>
        <v>1</v>
      </c>
      <c r="AE7" s="79">
        <v>1</v>
      </c>
      <c r="AF7" s="79"/>
      <c r="AG7" s="79">
        <v>2</v>
      </c>
      <c r="AH7" s="79">
        <v>2</v>
      </c>
      <c r="AI7" s="79">
        <v>1</v>
      </c>
      <c r="AJ7" s="79"/>
      <c r="AK7" s="79">
        <v>2</v>
      </c>
      <c r="AL7" s="79"/>
      <c r="AM7" s="79"/>
      <c r="AN7" s="79"/>
      <c r="AO7" s="79">
        <v>1</v>
      </c>
      <c r="AP7" s="79">
        <v>1</v>
      </c>
      <c r="AQ7" s="79">
        <v>1</v>
      </c>
      <c r="AR7" s="79">
        <v>1</v>
      </c>
      <c r="AS7" s="79">
        <v>1</v>
      </c>
      <c r="AT7" s="79"/>
      <c r="AU7" s="79"/>
      <c r="AV7" s="79">
        <v>1</v>
      </c>
      <c r="AW7" s="79"/>
      <c r="AX7" s="79"/>
      <c r="AY7" s="79">
        <f>VLOOKUP(A7,[1]Sheet1!$A:$B,2,FALSE)</f>
        <v>1</v>
      </c>
      <c r="AZ7" s="79"/>
      <c r="BA7" s="79">
        <f>VLOOKUP(A7,[3]Stats!$A:$B,2,FALSE)</f>
        <v>2</v>
      </c>
      <c r="BB7" s="79"/>
      <c r="BC7" s="79">
        <v>1</v>
      </c>
      <c r="BD7" s="79"/>
      <c r="BE7" s="79"/>
      <c r="BF7" s="79"/>
      <c r="BG7" s="79">
        <v>1</v>
      </c>
      <c r="BH7" s="79">
        <v>1</v>
      </c>
      <c r="BI7" s="79"/>
      <c r="BJ7" s="79">
        <v>0</v>
      </c>
      <c r="BK7" s="79">
        <v>1</v>
      </c>
      <c r="BL7" s="79">
        <v>1</v>
      </c>
      <c r="BM7" s="79">
        <v>0</v>
      </c>
      <c r="BN7" s="79">
        <v>2</v>
      </c>
      <c r="BO7" s="79">
        <v>0</v>
      </c>
      <c r="BP7" s="79">
        <v>2</v>
      </c>
      <c r="BQ7" s="79">
        <v>2</v>
      </c>
      <c r="BR7" s="79">
        <v>1</v>
      </c>
      <c r="BS7" s="79">
        <v>0</v>
      </c>
      <c r="BT7" s="79">
        <v>0</v>
      </c>
      <c r="BU7" s="79">
        <v>1</v>
      </c>
      <c r="BV7" s="79">
        <v>1</v>
      </c>
      <c r="BW7" s="79">
        <v>0</v>
      </c>
      <c r="BX7" s="79">
        <v>2</v>
      </c>
      <c r="BY7" s="79">
        <v>1</v>
      </c>
      <c r="BZ7" s="79">
        <v>2</v>
      </c>
      <c r="CA7" s="79">
        <v>1</v>
      </c>
      <c r="CB7" s="79">
        <v>0</v>
      </c>
      <c r="CC7" s="79">
        <v>0</v>
      </c>
      <c r="CD7" s="79">
        <v>0</v>
      </c>
      <c r="CE7" s="79">
        <v>1</v>
      </c>
      <c r="CF7" s="79">
        <v>0</v>
      </c>
      <c r="CG7" s="79">
        <v>1</v>
      </c>
      <c r="CH7" s="79">
        <v>0</v>
      </c>
      <c r="CI7" s="79">
        <v>1</v>
      </c>
      <c r="CJ7" s="79">
        <v>2</v>
      </c>
      <c r="CK7" s="79">
        <v>2</v>
      </c>
      <c r="CL7" s="79">
        <v>1</v>
      </c>
      <c r="CM7" s="79">
        <v>0</v>
      </c>
      <c r="CN7" s="79">
        <v>1</v>
      </c>
      <c r="CO7" s="79">
        <v>0</v>
      </c>
      <c r="CP7" s="79">
        <v>0</v>
      </c>
      <c r="CQ7" s="79">
        <v>2</v>
      </c>
      <c r="CR7" s="79">
        <v>1</v>
      </c>
      <c r="CS7" s="79">
        <v>1</v>
      </c>
      <c r="CT7" s="79">
        <v>1</v>
      </c>
      <c r="CU7" s="79">
        <v>1</v>
      </c>
      <c r="CV7" s="79">
        <v>1</v>
      </c>
      <c r="CW7" s="79">
        <v>4</v>
      </c>
      <c r="CX7" s="79">
        <v>1</v>
      </c>
      <c r="CY7" s="79">
        <v>2</v>
      </c>
      <c r="CZ7" s="79">
        <v>2</v>
      </c>
      <c r="DA7" s="79">
        <v>2</v>
      </c>
      <c r="DB7" s="79">
        <v>2</v>
      </c>
      <c r="DC7" s="79">
        <v>2</v>
      </c>
      <c r="DD7" s="79">
        <v>0</v>
      </c>
      <c r="DE7" s="79">
        <v>1</v>
      </c>
      <c r="DF7" s="79">
        <v>1</v>
      </c>
      <c r="DG7" s="79">
        <v>0</v>
      </c>
      <c r="DH7" s="79">
        <v>0</v>
      </c>
      <c r="DI7" s="79">
        <v>0</v>
      </c>
      <c r="DJ7" s="79">
        <v>1</v>
      </c>
      <c r="DK7" s="79">
        <v>1</v>
      </c>
      <c r="DL7" s="79">
        <v>3</v>
      </c>
      <c r="DM7" s="79">
        <v>0</v>
      </c>
      <c r="DN7" s="79">
        <v>1</v>
      </c>
      <c r="DO7" s="79">
        <v>0</v>
      </c>
      <c r="DP7" s="79">
        <v>0</v>
      </c>
      <c r="DQ7" s="79">
        <v>1</v>
      </c>
      <c r="DR7" s="79">
        <v>1</v>
      </c>
      <c r="DS7" s="79">
        <v>5</v>
      </c>
      <c r="DT7" s="79">
        <v>0</v>
      </c>
      <c r="DU7" s="79">
        <v>0</v>
      </c>
      <c r="DV7" s="79">
        <v>0</v>
      </c>
      <c r="DW7" s="79">
        <v>2</v>
      </c>
      <c r="DX7" s="79">
        <v>0</v>
      </c>
      <c r="DY7" s="79">
        <v>1</v>
      </c>
      <c r="DZ7" s="79">
        <v>1</v>
      </c>
      <c r="EA7" s="79">
        <v>0</v>
      </c>
      <c r="EB7" s="79">
        <v>0</v>
      </c>
      <c r="EC7" s="79">
        <v>2</v>
      </c>
      <c r="ED7" s="79">
        <v>7</v>
      </c>
      <c r="EE7" s="79">
        <v>0</v>
      </c>
      <c r="EF7" s="79">
        <v>1</v>
      </c>
      <c r="EG7" s="79">
        <v>0</v>
      </c>
      <c r="EH7" s="79">
        <v>0</v>
      </c>
      <c r="EI7" s="79">
        <v>1</v>
      </c>
      <c r="EJ7" s="79">
        <v>0</v>
      </c>
      <c r="EK7" s="79">
        <v>0</v>
      </c>
      <c r="EL7" s="79">
        <v>0</v>
      </c>
      <c r="EM7" s="79">
        <v>0</v>
      </c>
      <c r="EN7" s="79">
        <v>0</v>
      </c>
      <c r="EO7" s="79">
        <v>1</v>
      </c>
      <c r="EP7" s="79">
        <v>0</v>
      </c>
      <c r="EQ7" s="79">
        <v>2</v>
      </c>
      <c r="ER7" s="79">
        <v>0</v>
      </c>
      <c r="ES7" s="79">
        <v>1</v>
      </c>
      <c r="ET7" s="79">
        <v>1</v>
      </c>
      <c r="EU7" s="79">
        <v>2</v>
      </c>
      <c r="EV7" s="79">
        <v>1</v>
      </c>
      <c r="EW7" s="79">
        <v>3</v>
      </c>
      <c r="EX7" s="79">
        <v>0</v>
      </c>
      <c r="EY7" s="79">
        <v>1</v>
      </c>
      <c r="EZ7" s="79">
        <v>0</v>
      </c>
      <c r="FA7" s="79">
        <v>0</v>
      </c>
      <c r="FB7" s="79">
        <v>1</v>
      </c>
      <c r="FC7" s="79">
        <v>1</v>
      </c>
      <c r="FD7" s="79">
        <v>2</v>
      </c>
      <c r="FE7" s="79">
        <v>0</v>
      </c>
      <c r="FF7" s="79">
        <v>0</v>
      </c>
      <c r="FG7" s="79">
        <v>1</v>
      </c>
      <c r="FH7" s="79">
        <v>1</v>
      </c>
      <c r="FI7" s="79">
        <v>2</v>
      </c>
      <c r="FJ7" s="79">
        <v>2</v>
      </c>
      <c r="FK7" s="79">
        <v>0</v>
      </c>
    </row>
    <row r="8" spans="1:167" ht="15.75" hidden="1" customHeight="1" x14ac:dyDescent="0.35">
      <c r="A8" s="75" t="s">
        <v>222</v>
      </c>
      <c r="B8" s="76"/>
      <c r="C8" s="76"/>
      <c r="D8" s="77"/>
      <c r="E8" s="78"/>
      <c r="F8" s="78"/>
      <c r="G8" s="79"/>
      <c r="H8" s="78"/>
      <c r="I8" s="78"/>
      <c r="J8" s="78"/>
      <c r="K8" s="78"/>
      <c r="L8" s="78"/>
      <c r="M8" s="78"/>
      <c r="N8" s="78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79"/>
      <c r="BK8" s="79"/>
      <c r="BL8" s="79"/>
      <c r="BM8" s="79"/>
      <c r="BN8" s="79"/>
      <c r="BO8" s="79"/>
      <c r="BP8" s="79"/>
      <c r="BQ8" s="79"/>
      <c r="BR8" s="79"/>
      <c r="BS8" s="79"/>
      <c r="BT8" s="79"/>
      <c r="BU8" s="79"/>
      <c r="BV8" s="79"/>
      <c r="BW8" s="79"/>
      <c r="BX8" s="79"/>
      <c r="BY8" s="79"/>
      <c r="BZ8" s="79"/>
      <c r="CA8" s="79"/>
      <c r="CB8" s="79"/>
      <c r="CC8" s="79"/>
      <c r="CD8" s="79"/>
      <c r="CE8" s="79"/>
      <c r="CF8" s="79"/>
      <c r="CG8" s="79"/>
      <c r="CH8" s="79"/>
      <c r="CI8" s="79"/>
      <c r="CJ8" s="79"/>
      <c r="CK8" s="79"/>
      <c r="CL8" s="79"/>
      <c r="CM8" s="79"/>
      <c r="CN8" s="79"/>
      <c r="CO8" s="79"/>
      <c r="CP8" s="79"/>
      <c r="CQ8" s="79"/>
      <c r="CR8" s="79"/>
      <c r="CS8" s="79"/>
      <c r="CT8" s="79"/>
      <c r="CU8" s="79"/>
      <c r="CV8" s="79"/>
      <c r="CW8" s="79"/>
      <c r="CX8" s="79"/>
      <c r="CY8" s="79"/>
      <c r="CZ8" s="79"/>
      <c r="DA8" s="79"/>
      <c r="DB8" s="79"/>
      <c r="DC8" s="79"/>
      <c r="DD8" s="79"/>
      <c r="DE8" s="79"/>
      <c r="DF8" s="79"/>
      <c r="DG8" s="79"/>
      <c r="DH8" s="79"/>
      <c r="DI8" s="79"/>
      <c r="DJ8" s="79"/>
      <c r="DK8" s="79"/>
      <c r="DL8" s="79"/>
      <c r="DM8" s="79"/>
      <c r="DN8" s="79"/>
      <c r="DO8" s="79"/>
      <c r="DP8" s="79"/>
      <c r="DQ8" s="79"/>
      <c r="DR8" s="79"/>
      <c r="DS8" s="79"/>
      <c r="DT8" s="79"/>
      <c r="DU8" s="79"/>
      <c r="DV8" s="79"/>
      <c r="DW8" s="79"/>
      <c r="DX8" s="79"/>
      <c r="DY8" s="79"/>
      <c r="DZ8" s="79"/>
      <c r="EA8" s="79"/>
      <c r="EB8" s="79"/>
      <c r="EC8" s="79"/>
      <c r="ED8" s="79"/>
      <c r="EE8" s="79"/>
      <c r="EF8" s="79"/>
      <c r="EG8" s="79"/>
      <c r="EH8" s="79"/>
      <c r="EI8" s="79"/>
      <c r="EJ8" s="79">
        <v>0</v>
      </c>
      <c r="EK8" s="79">
        <v>0</v>
      </c>
      <c r="EL8" s="79">
        <v>0</v>
      </c>
      <c r="EM8" s="79">
        <v>0</v>
      </c>
      <c r="EN8" s="79">
        <v>2</v>
      </c>
      <c r="EO8" s="79">
        <v>1</v>
      </c>
      <c r="EP8" s="79">
        <v>0</v>
      </c>
      <c r="EQ8" s="79">
        <v>1</v>
      </c>
      <c r="ER8" s="79">
        <v>0</v>
      </c>
      <c r="ES8" s="79">
        <v>2</v>
      </c>
      <c r="ET8" s="79">
        <v>1</v>
      </c>
      <c r="EU8" s="79">
        <v>1</v>
      </c>
      <c r="EV8" s="79">
        <v>1</v>
      </c>
      <c r="EW8" s="79">
        <v>4</v>
      </c>
      <c r="EX8" s="79">
        <v>0</v>
      </c>
      <c r="EY8" s="79">
        <v>0</v>
      </c>
      <c r="EZ8" s="79">
        <v>2</v>
      </c>
      <c r="FA8" s="79">
        <v>5</v>
      </c>
      <c r="FB8" s="79">
        <v>1</v>
      </c>
      <c r="FC8" s="79">
        <v>2</v>
      </c>
      <c r="FD8" s="79">
        <v>2</v>
      </c>
      <c r="FE8" s="79">
        <v>0</v>
      </c>
      <c r="FF8" s="79">
        <v>9</v>
      </c>
      <c r="FG8" s="79">
        <v>2</v>
      </c>
      <c r="FH8" s="79">
        <v>1</v>
      </c>
      <c r="FI8" s="79">
        <v>0</v>
      </c>
      <c r="FJ8" s="79">
        <v>0</v>
      </c>
      <c r="FK8" s="79">
        <v>1</v>
      </c>
    </row>
    <row r="9" spans="1:167" ht="15.75" customHeight="1" x14ac:dyDescent="0.35">
      <c r="A9" s="80" t="s">
        <v>205</v>
      </c>
      <c r="B9" s="76"/>
      <c r="C9" s="76"/>
      <c r="D9" s="77"/>
      <c r="E9" s="78"/>
      <c r="F9" s="78"/>
      <c r="G9" s="79"/>
      <c r="H9" s="78"/>
      <c r="I9" s="78"/>
      <c r="J9" s="78"/>
      <c r="K9" s="78"/>
      <c r="L9" s="78"/>
      <c r="M9" s="78"/>
      <c r="N9" s="78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>
        <v>1</v>
      </c>
      <c r="AZ9" s="79"/>
      <c r="BA9" s="79"/>
      <c r="BB9" s="79"/>
      <c r="BC9" s="79"/>
      <c r="BD9" s="79"/>
      <c r="BE9" s="79">
        <v>1</v>
      </c>
      <c r="BF9" s="79"/>
      <c r="BG9" s="79">
        <v>1</v>
      </c>
      <c r="BH9" s="79">
        <v>1</v>
      </c>
      <c r="BI9" s="79"/>
      <c r="BJ9" s="79">
        <v>0</v>
      </c>
      <c r="BK9" s="79">
        <v>0</v>
      </c>
      <c r="BL9" s="79">
        <v>0</v>
      </c>
      <c r="BM9" s="79">
        <v>0</v>
      </c>
      <c r="BN9" s="79">
        <v>1</v>
      </c>
      <c r="BO9" s="79">
        <v>0</v>
      </c>
      <c r="BP9" s="79">
        <v>0</v>
      </c>
      <c r="BQ9" s="79">
        <v>0</v>
      </c>
      <c r="BR9" s="79">
        <v>1</v>
      </c>
      <c r="BS9" s="79">
        <v>0</v>
      </c>
      <c r="BT9" s="79">
        <v>0</v>
      </c>
      <c r="BU9" s="79">
        <v>0</v>
      </c>
      <c r="BV9" s="79">
        <v>0</v>
      </c>
      <c r="BW9" s="79">
        <v>0</v>
      </c>
      <c r="BX9" s="79">
        <v>0</v>
      </c>
      <c r="BY9" s="79">
        <v>0</v>
      </c>
      <c r="BZ9" s="79">
        <v>0</v>
      </c>
      <c r="CA9" s="79">
        <v>0</v>
      </c>
      <c r="CB9" s="79">
        <v>0</v>
      </c>
      <c r="CC9" s="79">
        <v>0</v>
      </c>
      <c r="CD9" s="79">
        <v>0</v>
      </c>
      <c r="CE9" s="79">
        <v>0</v>
      </c>
      <c r="CF9" s="79">
        <v>0</v>
      </c>
      <c r="CG9" s="79">
        <v>0</v>
      </c>
      <c r="CH9" s="79">
        <v>0</v>
      </c>
      <c r="CI9" s="79">
        <v>1</v>
      </c>
      <c r="CJ9" s="79">
        <v>0</v>
      </c>
      <c r="CK9" s="79">
        <v>0</v>
      </c>
      <c r="CL9" s="79">
        <v>0</v>
      </c>
      <c r="CM9" s="79">
        <v>0</v>
      </c>
      <c r="CN9" s="79">
        <v>0</v>
      </c>
      <c r="CO9" s="79">
        <v>0</v>
      </c>
      <c r="CP9" s="79">
        <v>0</v>
      </c>
      <c r="CQ9" s="79">
        <v>0</v>
      </c>
      <c r="CR9" s="79">
        <v>1</v>
      </c>
      <c r="CS9" s="79">
        <v>0</v>
      </c>
      <c r="CT9" s="79">
        <v>0</v>
      </c>
      <c r="CU9" s="79">
        <v>0</v>
      </c>
      <c r="CV9" s="79">
        <v>0</v>
      </c>
      <c r="CW9" s="79">
        <v>1</v>
      </c>
      <c r="CX9" s="79">
        <v>1</v>
      </c>
      <c r="CY9" s="79">
        <v>0</v>
      </c>
      <c r="CZ9" s="79">
        <v>0</v>
      </c>
      <c r="DA9" s="79">
        <v>0</v>
      </c>
      <c r="DB9" s="79">
        <v>2</v>
      </c>
      <c r="DC9" s="79">
        <v>0</v>
      </c>
      <c r="DD9" s="79">
        <v>0</v>
      </c>
      <c r="DE9" s="79">
        <v>0</v>
      </c>
      <c r="DF9" s="79">
        <v>1</v>
      </c>
      <c r="DG9" s="79">
        <v>0</v>
      </c>
      <c r="DH9" s="79">
        <v>2</v>
      </c>
      <c r="DI9" s="79">
        <v>0</v>
      </c>
      <c r="DJ9" s="79">
        <v>0</v>
      </c>
      <c r="DK9" s="79">
        <v>0</v>
      </c>
      <c r="DL9" s="79">
        <v>0</v>
      </c>
      <c r="DM9" s="79">
        <v>0</v>
      </c>
      <c r="DN9" s="79">
        <v>0</v>
      </c>
      <c r="DO9" s="79">
        <v>0</v>
      </c>
      <c r="DP9" s="79">
        <v>0</v>
      </c>
      <c r="DQ9" s="79">
        <v>0</v>
      </c>
      <c r="DR9" s="79">
        <v>0</v>
      </c>
      <c r="DS9" s="79">
        <v>0</v>
      </c>
      <c r="DT9" s="79">
        <v>0</v>
      </c>
      <c r="DU9" s="79">
        <v>0</v>
      </c>
      <c r="DV9" s="79">
        <v>0</v>
      </c>
      <c r="DW9" s="79">
        <v>0</v>
      </c>
      <c r="DX9" s="79">
        <v>0</v>
      </c>
      <c r="DY9" s="79">
        <v>0</v>
      </c>
      <c r="DZ9" s="79">
        <v>0</v>
      </c>
      <c r="EA9" s="79">
        <v>0</v>
      </c>
      <c r="EB9" s="79">
        <v>1</v>
      </c>
      <c r="EC9" s="79">
        <v>0</v>
      </c>
      <c r="ED9" s="79">
        <v>0</v>
      </c>
      <c r="EE9" s="79">
        <v>0</v>
      </c>
      <c r="EF9" s="79">
        <v>0</v>
      </c>
      <c r="EG9" s="79">
        <v>0</v>
      </c>
      <c r="EH9" s="79">
        <v>0</v>
      </c>
      <c r="EI9" s="79">
        <v>0</v>
      </c>
      <c r="EJ9" s="79">
        <v>0</v>
      </c>
      <c r="EK9" s="79">
        <v>0</v>
      </c>
      <c r="EL9" s="79">
        <v>0</v>
      </c>
      <c r="EM9" s="79">
        <v>1</v>
      </c>
      <c r="EN9" s="79">
        <v>0</v>
      </c>
      <c r="EO9" s="79">
        <v>0</v>
      </c>
      <c r="EP9" s="79">
        <v>0</v>
      </c>
      <c r="EQ9" s="79">
        <v>0</v>
      </c>
      <c r="ER9" s="79">
        <v>2</v>
      </c>
      <c r="ES9" s="79">
        <v>0</v>
      </c>
      <c r="ET9" s="79">
        <v>0</v>
      </c>
      <c r="EU9" s="79">
        <v>1</v>
      </c>
      <c r="EV9" s="79">
        <v>1</v>
      </c>
      <c r="EW9" s="79">
        <v>0</v>
      </c>
      <c r="EX9" s="79">
        <v>0</v>
      </c>
      <c r="EY9" s="79">
        <v>0</v>
      </c>
      <c r="EZ9" s="79">
        <v>0</v>
      </c>
      <c r="FA9" s="79">
        <v>0</v>
      </c>
      <c r="FB9" s="79">
        <v>0</v>
      </c>
      <c r="FC9" s="79">
        <v>0</v>
      </c>
      <c r="FD9" s="79">
        <v>0</v>
      </c>
      <c r="FE9" s="79">
        <v>0</v>
      </c>
      <c r="FF9" s="79">
        <v>0</v>
      </c>
      <c r="FG9" s="79">
        <v>0</v>
      </c>
      <c r="FH9" s="79">
        <v>0</v>
      </c>
      <c r="FI9" s="79">
        <v>0</v>
      </c>
      <c r="FJ9" s="79">
        <v>1</v>
      </c>
      <c r="FK9" s="79">
        <v>0</v>
      </c>
    </row>
    <row r="10" spans="1:167" ht="15.75" hidden="1" customHeight="1" x14ac:dyDescent="0.35">
      <c r="A10" s="75" t="s">
        <v>221</v>
      </c>
      <c r="B10" s="76"/>
      <c r="C10" s="76"/>
      <c r="D10" s="77"/>
      <c r="E10" s="78"/>
      <c r="F10" s="78"/>
      <c r="G10" s="79"/>
      <c r="H10" s="78"/>
      <c r="I10" s="78"/>
      <c r="J10" s="78"/>
      <c r="K10" s="78"/>
      <c r="L10" s="78"/>
      <c r="M10" s="78"/>
      <c r="N10" s="78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>
        <v>1</v>
      </c>
      <c r="AA10" s="79">
        <v>1</v>
      </c>
      <c r="AB10" s="79"/>
      <c r="AC10" s="79">
        <v>1</v>
      </c>
      <c r="AD10" s="79"/>
      <c r="AE10" s="79"/>
      <c r="AF10" s="79">
        <v>1</v>
      </c>
      <c r="AG10" s="79"/>
      <c r="AH10" s="79"/>
      <c r="AI10" s="79">
        <v>2</v>
      </c>
      <c r="AJ10" s="79"/>
      <c r="AK10" s="79"/>
      <c r="AL10" s="79">
        <v>2</v>
      </c>
      <c r="AM10" s="79"/>
      <c r="AN10" s="79"/>
      <c r="AO10" s="79"/>
      <c r="AP10" s="79"/>
      <c r="AQ10" s="79">
        <v>2</v>
      </c>
      <c r="AR10" s="79"/>
      <c r="AS10" s="79"/>
      <c r="AT10" s="79">
        <v>2</v>
      </c>
      <c r="AU10" s="79"/>
      <c r="AV10" s="79">
        <v>1</v>
      </c>
      <c r="AW10" s="79"/>
      <c r="AX10" s="79"/>
      <c r="AY10" s="79"/>
      <c r="AZ10" s="79"/>
      <c r="BA10" s="79" t="e">
        <f>VLOOKUP(A10,[3]Stats!$A:$B,2,FALSE)</f>
        <v>#N/A</v>
      </c>
      <c r="BB10" s="79">
        <v>1</v>
      </c>
      <c r="BC10" s="79">
        <v>1</v>
      </c>
      <c r="BD10" s="79"/>
      <c r="BE10" s="79"/>
      <c r="BF10" s="79">
        <v>1</v>
      </c>
      <c r="BG10" s="79"/>
      <c r="BH10" s="79"/>
      <c r="BI10" s="79">
        <v>1</v>
      </c>
      <c r="BJ10" s="79">
        <v>2</v>
      </c>
      <c r="BK10" s="79">
        <v>2</v>
      </c>
      <c r="BL10" s="79">
        <v>1</v>
      </c>
      <c r="BM10" s="79">
        <v>1</v>
      </c>
      <c r="BN10" s="79">
        <v>1</v>
      </c>
      <c r="BO10" s="79">
        <v>1</v>
      </c>
      <c r="BP10" s="79">
        <v>0</v>
      </c>
      <c r="BQ10" s="79">
        <v>0</v>
      </c>
      <c r="BR10" s="79">
        <v>0</v>
      </c>
      <c r="BS10" s="79">
        <v>0</v>
      </c>
      <c r="BT10" s="79">
        <v>1</v>
      </c>
      <c r="BU10" s="79">
        <v>1</v>
      </c>
      <c r="BV10" s="79">
        <v>1</v>
      </c>
      <c r="BW10" s="79">
        <v>0</v>
      </c>
      <c r="BX10" s="79">
        <v>0</v>
      </c>
      <c r="BY10" s="79">
        <v>2</v>
      </c>
      <c r="BZ10" s="79">
        <v>2</v>
      </c>
      <c r="CA10" s="79">
        <v>3</v>
      </c>
      <c r="CB10" s="79">
        <v>0</v>
      </c>
      <c r="CC10" s="79">
        <v>0</v>
      </c>
      <c r="CD10" s="79">
        <v>2</v>
      </c>
      <c r="CE10" s="79">
        <v>0</v>
      </c>
      <c r="CF10" s="79">
        <v>0</v>
      </c>
      <c r="CG10" s="79">
        <v>5</v>
      </c>
      <c r="CH10" s="79">
        <v>2</v>
      </c>
      <c r="CI10" s="79">
        <v>0</v>
      </c>
      <c r="CJ10" s="79">
        <v>0</v>
      </c>
      <c r="CK10" s="79">
        <v>0</v>
      </c>
      <c r="CL10" s="79">
        <v>2</v>
      </c>
      <c r="CM10" s="79">
        <v>0</v>
      </c>
      <c r="CN10" s="79">
        <v>0</v>
      </c>
      <c r="CO10" s="79">
        <v>0</v>
      </c>
      <c r="CP10" s="79">
        <v>2</v>
      </c>
      <c r="CQ10" s="79">
        <v>0</v>
      </c>
      <c r="CR10" s="79">
        <v>1</v>
      </c>
      <c r="CS10" s="79">
        <v>1</v>
      </c>
      <c r="CT10" s="79">
        <v>0</v>
      </c>
      <c r="CU10" s="79">
        <v>1</v>
      </c>
      <c r="CV10" s="79">
        <v>0</v>
      </c>
      <c r="CW10" s="79">
        <v>0</v>
      </c>
      <c r="CX10" s="79">
        <v>0</v>
      </c>
      <c r="CY10" s="79">
        <v>0</v>
      </c>
      <c r="CZ10" s="79">
        <v>0</v>
      </c>
      <c r="DA10" s="79">
        <v>1</v>
      </c>
      <c r="DB10" s="79">
        <v>0</v>
      </c>
      <c r="DC10" s="79">
        <v>2</v>
      </c>
      <c r="DD10" s="79">
        <v>1</v>
      </c>
      <c r="DE10" s="79">
        <v>2</v>
      </c>
      <c r="DF10" s="79">
        <v>0</v>
      </c>
      <c r="DG10" s="79">
        <v>0</v>
      </c>
      <c r="DH10" s="79">
        <v>0</v>
      </c>
      <c r="DI10" s="79">
        <v>7</v>
      </c>
      <c r="DJ10" s="79">
        <v>0</v>
      </c>
      <c r="DK10" s="79">
        <v>0</v>
      </c>
      <c r="DL10" s="79">
        <v>1</v>
      </c>
      <c r="DM10" s="79">
        <v>0</v>
      </c>
      <c r="DN10" s="79">
        <v>0</v>
      </c>
      <c r="DO10" s="79">
        <v>0</v>
      </c>
      <c r="DP10" s="79">
        <v>0</v>
      </c>
      <c r="DQ10" s="79">
        <v>0</v>
      </c>
      <c r="DR10" s="79">
        <v>2</v>
      </c>
      <c r="DS10" s="79">
        <v>0</v>
      </c>
      <c r="DT10" s="79">
        <v>0</v>
      </c>
      <c r="DU10" s="79">
        <v>0</v>
      </c>
      <c r="DV10" s="79">
        <v>0</v>
      </c>
      <c r="DW10" s="79">
        <v>1</v>
      </c>
      <c r="DX10" s="79">
        <v>1</v>
      </c>
      <c r="DY10" s="79">
        <v>14</v>
      </c>
      <c r="DZ10" s="79">
        <v>0</v>
      </c>
      <c r="EA10" s="79">
        <v>0</v>
      </c>
      <c r="EB10" s="79">
        <v>0</v>
      </c>
      <c r="EC10" s="79">
        <v>0</v>
      </c>
      <c r="ED10" s="79">
        <v>0</v>
      </c>
      <c r="EE10" s="79">
        <v>1</v>
      </c>
      <c r="EF10" s="79">
        <v>1</v>
      </c>
      <c r="EG10" s="79">
        <v>1</v>
      </c>
      <c r="EH10" s="79">
        <v>0</v>
      </c>
      <c r="EI10" s="79">
        <v>0</v>
      </c>
      <c r="EJ10" s="79">
        <v>0</v>
      </c>
      <c r="EK10" s="79">
        <v>0</v>
      </c>
      <c r="EL10" s="79">
        <v>0</v>
      </c>
      <c r="EM10" s="79">
        <v>2</v>
      </c>
      <c r="EN10" s="79">
        <v>0</v>
      </c>
      <c r="EO10" s="79">
        <v>0</v>
      </c>
      <c r="EP10" s="79">
        <v>0</v>
      </c>
      <c r="EQ10" s="79">
        <v>1</v>
      </c>
      <c r="ER10" s="79">
        <v>0</v>
      </c>
      <c r="ES10" s="79">
        <v>0</v>
      </c>
      <c r="ET10" s="79">
        <v>1</v>
      </c>
      <c r="EU10" s="79">
        <v>0</v>
      </c>
      <c r="EV10" s="79">
        <v>1</v>
      </c>
      <c r="EW10" s="79">
        <v>0</v>
      </c>
      <c r="EX10" s="79">
        <v>0</v>
      </c>
      <c r="EY10" s="79">
        <v>1</v>
      </c>
      <c r="EZ10" s="79">
        <v>0</v>
      </c>
      <c r="FA10" s="79">
        <v>0</v>
      </c>
      <c r="FB10" s="79">
        <v>2</v>
      </c>
      <c r="FC10" s="79">
        <v>0</v>
      </c>
      <c r="FD10" s="79">
        <v>0</v>
      </c>
      <c r="FE10" s="79">
        <v>1</v>
      </c>
      <c r="FF10" s="79">
        <v>0</v>
      </c>
      <c r="FG10" s="79">
        <v>1</v>
      </c>
      <c r="FH10" s="79">
        <v>12</v>
      </c>
      <c r="FI10" s="79">
        <v>1</v>
      </c>
      <c r="FJ10" s="79">
        <v>0</v>
      </c>
      <c r="FK10" s="79">
        <v>11</v>
      </c>
    </row>
    <row r="11" spans="1:167" ht="15.75" customHeight="1" x14ac:dyDescent="0.35">
      <c r="A11" s="75" t="s">
        <v>201</v>
      </c>
      <c r="B11" s="76"/>
      <c r="C11" s="76"/>
      <c r="D11" s="77"/>
      <c r="E11" s="78"/>
      <c r="F11" s="78"/>
      <c r="G11" s="79"/>
      <c r="H11" s="78"/>
      <c r="I11" s="78"/>
      <c r="J11" s="78"/>
      <c r="K11" s="78"/>
      <c r="L11" s="78"/>
      <c r="M11" s="78"/>
      <c r="N11" s="78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>
        <v>2</v>
      </c>
      <c r="AX11" s="79"/>
      <c r="AY11" s="79">
        <f>VLOOKUP(A11,[1]Sheet1!$A:$B,2,FALSE)</f>
        <v>1</v>
      </c>
      <c r="AZ11" s="79"/>
      <c r="BA11" s="79">
        <f>VLOOKUP(A11,[3]Stats!$A:$B,2,FALSE)</f>
        <v>1</v>
      </c>
      <c r="BB11" s="79">
        <v>1</v>
      </c>
      <c r="BC11" s="79"/>
      <c r="BD11" s="79"/>
      <c r="BE11" s="79"/>
      <c r="BF11" s="79">
        <v>1</v>
      </c>
      <c r="BG11" s="79"/>
      <c r="BH11" s="79">
        <v>1</v>
      </c>
      <c r="BI11" s="79"/>
      <c r="BJ11" s="79">
        <v>0</v>
      </c>
      <c r="BK11" s="79">
        <v>0</v>
      </c>
      <c r="BL11" s="79">
        <v>0</v>
      </c>
      <c r="BM11" s="79">
        <v>1</v>
      </c>
      <c r="BN11" s="79">
        <v>1</v>
      </c>
      <c r="BO11" s="79">
        <v>0</v>
      </c>
      <c r="BP11" s="79">
        <v>0</v>
      </c>
      <c r="BQ11" s="79">
        <v>0</v>
      </c>
      <c r="BR11" s="79">
        <v>0</v>
      </c>
      <c r="BS11" s="79">
        <v>2</v>
      </c>
      <c r="BT11" s="79">
        <v>0</v>
      </c>
      <c r="BU11" s="79">
        <v>1</v>
      </c>
      <c r="BV11" s="79">
        <v>0</v>
      </c>
      <c r="BW11" s="79">
        <v>1</v>
      </c>
      <c r="BX11" s="79">
        <v>0</v>
      </c>
      <c r="BY11" s="79">
        <v>0</v>
      </c>
      <c r="BZ11" s="79">
        <v>0</v>
      </c>
      <c r="CA11" s="79">
        <v>0</v>
      </c>
      <c r="CB11" s="79">
        <v>0</v>
      </c>
      <c r="CC11" s="79">
        <v>0</v>
      </c>
      <c r="CD11" s="79">
        <v>0</v>
      </c>
      <c r="CE11" s="79">
        <v>0</v>
      </c>
      <c r="CF11" s="79">
        <v>0</v>
      </c>
      <c r="CG11" s="79">
        <v>0</v>
      </c>
      <c r="CH11" s="79">
        <v>0</v>
      </c>
      <c r="CI11" s="79">
        <v>0</v>
      </c>
      <c r="CJ11" s="79">
        <v>0</v>
      </c>
      <c r="CK11" s="79">
        <v>0</v>
      </c>
      <c r="CL11" s="79">
        <v>0</v>
      </c>
      <c r="CM11" s="79">
        <v>0</v>
      </c>
      <c r="CN11" s="79">
        <v>0</v>
      </c>
      <c r="CO11" s="79">
        <v>0</v>
      </c>
      <c r="CP11" s="79">
        <v>0</v>
      </c>
      <c r="CQ11" s="79">
        <v>0</v>
      </c>
      <c r="CR11" s="79">
        <v>2</v>
      </c>
      <c r="CS11" s="79">
        <v>0</v>
      </c>
      <c r="CT11" s="79">
        <v>0</v>
      </c>
      <c r="CU11" s="79">
        <v>1</v>
      </c>
      <c r="CV11" s="79">
        <v>1</v>
      </c>
      <c r="CW11" s="79">
        <v>0</v>
      </c>
      <c r="CX11" s="79">
        <v>0</v>
      </c>
      <c r="CY11" s="79">
        <v>0</v>
      </c>
      <c r="CZ11" s="79">
        <v>0</v>
      </c>
      <c r="DA11" s="79">
        <v>0</v>
      </c>
      <c r="DB11" s="79">
        <v>0</v>
      </c>
      <c r="DC11" s="79">
        <v>0</v>
      </c>
      <c r="DD11" s="79">
        <v>0</v>
      </c>
      <c r="DE11" s="79">
        <v>1</v>
      </c>
      <c r="DF11" s="79">
        <v>0</v>
      </c>
      <c r="DG11" s="79">
        <v>0</v>
      </c>
      <c r="DH11" s="79">
        <v>0</v>
      </c>
      <c r="DI11" s="79">
        <v>0</v>
      </c>
      <c r="DJ11" s="79">
        <v>0</v>
      </c>
      <c r="DK11" s="79">
        <v>0</v>
      </c>
      <c r="DL11" s="79">
        <v>0</v>
      </c>
      <c r="DM11" s="79">
        <v>0</v>
      </c>
      <c r="DN11" s="79">
        <v>0</v>
      </c>
      <c r="DO11" s="79">
        <v>0</v>
      </c>
      <c r="DP11" s="79">
        <v>0</v>
      </c>
      <c r="DQ11" s="79">
        <v>0</v>
      </c>
      <c r="DR11" s="79">
        <v>0</v>
      </c>
      <c r="DS11" s="79">
        <v>0</v>
      </c>
      <c r="DT11" s="79">
        <v>0</v>
      </c>
      <c r="DU11" s="79">
        <v>0</v>
      </c>
      <c r="DV11" s="79">
        <v>0</v>
      </c>
      <c r="DW11" s="79">
        <v>0</v>
      </c>
      <c r="DX11" s="79">
        <v>0</v>
      </c>
      <c r="DY11" s="79">
        <v>0</v>
      </c>
      <c r="DZ11" s="79">
        <v>0</v>
      </c>
      <c r="EA11" s="79">
        <v>0</v>
      </c>
      <c r="EB11" s="79">
        <v>0</v>
      </c>
      <c r="EC11" s="79">
        <v>0</v>
      </c>
      <c r="ED11" s="79">
        <v>0</v>
      </c>
      <c r="EE11" s="79">
        <v>0</v>
      </c>
      <c r="EF11" s="79">
        <v>0</v>
      </c>
      <c r="EG11" s="79">
        <v>0</v>
      </c>
      <c r="EH11" s="79">
        <v>0</v>
      </c>
      <c r="EI11" s="79">
        <v>0</v>
      </c>
      <c r="EJ11" s="79">
        <v>0</v>
      </c>
      <c r="EK11" s="79">
        <v>0</v>
      </c>
      <c r="EL11" s="79">
        <v>0</v>
      </c>
      <c r="EM11" s="79">
        <v>0</v>
      </c>
      <c r="EN11" s="79">
        <v>0</v>
      </c>
      <c r="EO11" s="79">
        <v>0</v>
      </c>
      <c r="EP11" s="79">
        <v>0</v>
      </c>
      <c r="EQ11" s="79">
        <v>0</v>
      </c>
      <c r="ER11" s="79">
        <v>0</v>
      </c>
      <c r="ES11" s="79">
        <v>0</v>
      </c>
      <c r="ET11" s="79">
        <v>0</v>
      </c>
      <c r="EU11" s="79">
        <v>0</v>
      </c>
      <c r="EV11" s="79">
        <v>0</v>
      </c>
      <c r="EW11" s="79">
        <v>0</v>
      </c>
      <c r="EX11" s="79">
        <v>1</v>
      </c>
      <c r="EY11" s="79">
        <v>0</v>
      </c>
      <c r="EZ11" s="79">
        <v>0</v>
      </c>
      <c r="FA11" s="79">
        <v>0</v>
      </c>
      <c r="FB11" s="79">
        <v>0</v>
      </c>
      <c r="FC11" s="79">
        <v>0</v>
      </c>
      <c r="FD11" s="79">
        <v>0</v>
      </c>
      <c r="FE11" s="79">
        <v>0</v>
      </c>
      <c r="FF11" s="79">
        <v>0</v>
      </c>
      <c r="FG11" s="79">
        <v>0</v>
      </c>
      <c r="FH11" s="79">
        <v>0</v>
      </c>
      <c r="FI11" s="79">
        <v>0</v>
      </c>
      <c r="FJ11" s="79">
        <v>0</v>
      </c>
      <c r="FK11" s="79">
        <v>0</v>
      </c>
    </row>
    <row r="12" spans="1:167" ht="15.75" customHeight="1" x14ac:dyDescent="0.35">
      <c r="A12" s="75" t="s">
        <v>104</v>
      </c>
      <c r="B12" s="76">
        <v>12</v>
      </c>
      <c r="C12" s="76">
        <v>20</v>
      </c>
      <c r="D12" s="77">
        <v>27</v>
      </c>
      <c r="E12" s="78">
        <v>18</v>
      </c>
      <c r="F12" s="78">
        <v>8</v>
      </c>
      <c r="G12" s="79">
        <v>21</v>
      </c>
      <c r="H12" s="78">
        <v>35</v>
      </c>
      <c r="I12" s="78">
        <v>40</v>
      </c>
      <c r="J12" s="78">
        <v>78</v>
      </c>
      <c r="K12" s="78">
        <v>50</v>
      </c>
      <c r="L12" s="78">
        <v>7</v>
      </c>
      <c r="M12" s="78">
        <v>4</v>
      </c>
      <c r="N12" s="78">
        <v>7</v>
      </c>
      <c r="O12" s="79">
        <v>7</v>
      </c>
      <c r="P12" s="79">
        <v>6</v>
      </c>
      <c r="Q12" s="79">
        <v>6</v>
      </c>
      <c r="R12" s="79">
        <v>5</v>
      </c>
      <c r="S12" s="79">
        <v>5</v>
      </c>
      <c r="T12" s="79">
        <v>11</v>
      </c>
      <c r="U12" s="79">
        <v>6</v>
      </c>
      <c r="V12" s="79">
        <v>16</v>
      </c>
      <c r="W12" s="79">
        <v>11</v>
      </c>
      <c r="X12" s="79">
        <v>14</v>
      </c>
      <c r="Y12" s="79">
        <v>14</v>
      </c>
      <c r="Z12" s="79">
        <v>19</v>
      </c>
      <c r="AA12" s="79">
        <v>24</v>
      </c>
      <c r="AB12" s="79">
        <v>30</v>
      </c>
      <c r="AC12" s="79">
        <v>38</v>
      </c>
      <c r="AD12" s="79">
        <v>46</v>
      </c>
      <c r="AE12" s="79">
        <v>13</v>
      </c>
      <c r="AF12" s="79">
        <v>24</v>
      </c>
      <c r="AG12" s="79">
        <v>30</v>
      </c>
      <c r="AH12" s="79">
        <v>10</v>
      </c>
      <c r="AI12" s="79">
        <v>13</v>
      </c>
      <c r="AJ12" s="79">
        <v>4</v>
      </c>
      <c r="AK12" s="79">
        <v>19</v>
      </c>
      <c r="AL12" s="79">
        <v>34</v>
      </c>
      <c r="AM12" s="79">
        <v>12</v>
      </c>
      <c r="AN12" s="79">
        <v>10</v>
      </c>
      <c r="AO12" s="79">
        <v>4</v>
      </c>
      <c r="AP12" s="79">
        <v>8</v>
      </c>
      <c r="AQ12" s="79">
        <v>2</v>
      </c>
      <c r="AR12" s="79">
        <v>7</v>
      </c>
      <c r="AS12" s="79">
        <v>14</v>
      </c>
      <c r="AT12" s="79">
        <v>30</v>
      </c>
      <c r="AU12" s="79">
        <v>12</v>
      </c>
      <c r="AV12" s="79">
        <v>25</v>
      </c>
      <c r="AW12" s="79">
        <v>21</v>
      </c>
      <c r="AX12" s="79"/>
      <c r="AY12" s="79">
        <f>VLOOKUP(A12,[1]Sheet1!$A:$B,2,FALSE)</f>
        <v>10</v>
      </c>
      <c r="AZ12" s="79">
        <f>VLOOKUP(A12,[2]Sheet1!$A:$B,2,FALSE)</f>
        <v>10</v>
      </c>
      <c r="BA12" s="79">
        <f>VLOOKUP(A12,[3]Stats!$A:$B,2,FALSE)</f>
        <v>5</v>
      </c>
      <c r="BB12" s="79">
        <v>12</v>
      </c>
      <c r="BC12" s="79">
        <v>7</v>
      </c>
      <c r="BD12" s="79">
        <v>15</v>
      </c>
      <c r="BE12" s="79">
        <v>10</v>
      </c>
      <c r="BF12" s="79">
        <v>9</v>
      </c>
      <c r="BG12" s="79">
        <v>11</v>
      </c>
      <c r="BH12" s="79">
        <v>43</v>
      </c>
      <c r="BI12" s="79">
        <v>13</v>
      </c>
      <c r="BJ12" s="79">
        <v>19</v>
      </c>
      <c r="BK12" s="79">
        <v>23</v>
      </c>
      <c r="BL12" s="79">
        <v>19</v>
      </c>
      <c r="BM12" s="79">
        <v>47</v>
      </c>
      <c r="BN12" s="79">
        <v>12</v>
      </c>
      <c r="BO12" s="79">
        <v>9</v>
      </c>
      <c r="BP12" s="79">
        <v>29</v>
      </c>
      <c r="BQ12" s="79">
        <v>8</v>
      </c>
      <c r="BR12" s="79">
        <v>19</v>
      </c>
      <c r="BS12" s="79">
        <v>22</v>
      </c>
      <c r="BT12" s="79">
        <v>11</v>
      </c>
      <c r="BU12" s="79">
        <v>35</v>
      </c>
      <c r="BV12" s="79">
        <v>21</v>
      </c>
      <c r="BW12" s="79">
        <v>9</v>
      </c>
      <c r="BX12" s="79">
        <v>13</v>
      </c>
      <c r="BY12" s="79">
        <v>22</v>
      </c>
      <c r="BZ12" s="79">
        <v>121</v>
      </c>
      <c r="CA12" s="79">
        <v>10</v>
      </c>
      <c r="CB12" s="79">
        <v>35</v>
      </c>
      <c r="CC12" s="79">
        <v>52</v>
      </c>
      <c r="CD12" s="79">
        <v>35</v>
      </c>
      <c r="CE12" s="79">
        <v>5</v>
      </c>
      <c r="CF12" s="79">
        <v>20</v>
      </c>
      <c r="CG12" s="79">
        <v>34</v>
      </c>
      <c r="CH12" s="79">
        <v>22</v>
      </c>
      <c r="CI12" s="79">
        <v>9</v>
      </c>
      <c r="CJ12" s="79">
        <v>5</v>
      </c>
      <c r="CK12" s="79">
        <v>4</v>
      </c>
      <c r="CL12" s="79">
        <v>14</v>
      </c>
      <c r="CM12" s="79">
        <v>13</v>
      </c>
      <c r="CN12" s="79">
        <v>58</v>
      </c>
      <c r="CO12" s="79">
        <v>27</v>
      </c>
      <c r="CP12" s="79">
        <v>17</v>
      </c>
      <c r="CQ12" s="79">
        <v>17</v>
      </c>
      <c r="CR12" s="79">
        <v>5</v>
      </c>
      <c r="CS12" s="79">
        <v>7</v>
      </c>
      <c r="CT12" s="79">
        <v>10</v>
      </c>
      <c r="CU12" s="79">
        <v>13</v>
      </c>
      <c r="CV12" s="79">
        <v>57</v>
      </c>
      <c r="CW12" s="79">
        <v>15</v>
      </c>
      <c r="CX12" s="79">
        <v>39</v>
      </c>
      <c r="CY12" s="79">
        <v>13</v>
      </c>
      <c r="CZ12" s="79">
        <v>98</v>
      </c>
      <c r="DA12" s="79">
        <v>10</v>
      </c>
      <c r="DB12" s="79">
        <v>38</v>
      </c>
      <c r="DC12" s="79">
        <v>32</v>
      </c>
      <c r="DD12" s="79">
        <v>24</v>
      </c>
      <c r="DE12" s="79">
        <v>19</v>
      </c>
      <c r="DF12" s="79">
        <v>21</v>
      </c>
      <c r="DG12" s="79">
        <v>13</v>
      </c>
      <c r="DH12" s="79">
        <v>20</v>
      </c>
      <c r="DI12" s="79">
        <v>12</v>
      </c>
      <c r="DJ12" s="79">
        <v>11</v>
      </c>
      <c r="DK12" s="79">
        <v>9</v>
      </c>
      <c r="DL12" s="79">
        <v>11</v>
      </c>
      <c r="DM12" s="79">
        <v>10</v>
      </c>
      <c r="DN12" s="79">
        <v>22</v>
      </c>
      <c r="DO12" s="79">
        <v>19</v>
      </c>
      <c r="DP12" s="79">
        <v>17</v>
      </c>
      <c r="DQ12" s="79">
        <v>21</v>
      </c>
      <c r="DR12" s="79">
        <v>62</v>
      </c>
      <c r="DS12" s="79">
        <v>10</v>
      </c>
      <c r="DT12" s="79">
        <v>19</v>
      </c>
      <c r="DU12" s="79">
        <v>37</v>
      </c>
      <c r="DV12" s="79">
        <v>54</v>
      </c>
      <c r="DW12" s="79">
        <v>10</v>
      </c>
      <c r="DX12" s="79">
        <v>19</v>
      </c>
      <c r="DY12" s="79">
        <v>69</v>
      </c>
      <c r="DZ12" s="79">
        <v>39</v>
      </c>
      <c r="EA12" s="79">
        <v>30</v>
      </c>
      <c r="EB12" s="79">
        <v>10</v>
      </c>
      <c r="EC12" s="79">
        <v>28</v>
      </c>
      <c r="ED12" s="79">
        <v>30</v>
      </c>
      <c r="EE12" s="79">
        <v>34</v>
      </c>
      <c r="EF12" s="79">
        <v>15</v>
      </c>
      <c r="EG12" s="79">
        <v>13</v>
      </c>
      <c r="EH12" s="79">
        <v>57</v>
      </c>
      <c r="EI12" s="79">
        <v>149</v>
      </c>
      <c r="EJ12" s="79">
        <v>51</v>
      </c>
      <c r="EK12" s="79">
        <v>42</v>
      </c>
      <c r="EL12" s="79">
        <v>127</v>
      </c>
      <c r="EM12" s="79">
        <v>110</v>
      </c>
      <c r="EN12" s="79">
        <v>216</v>
      </c>
      <c r="EO12" s="79">
        <v>461</v>
      </c>
      <c r="EP12" s="79">
        <v>496</v>
      </c>
      <c r="EQ12" s="79">
        <v>442</v>
      </c>
      <c r="ER12" s="79">
        <v>523</v>
      </c>
      <c r="ES12" s="79">
        <v>193</v>
      </c>
      <c r="ET12" s="79">
        <v>199</v>
      </c>
      <c r="EU12" s="79">
        <v>224</v>
      </c>
      <c r="EV12" s="79">
        <v>231</v>
      </c>
      <c r="EW12" s="79">
        <v>108</v>
      </c>
      <c r="EX12" s="79">
        <v>117</v>
      </c>
      <c r="EY12" s="79">
        <v>87</v>
      </c>
      <c r="EZ12" s="79">
        <v>220</v>
      </c>
      <c r="FA12" s="79">
        <v>215</v>
      </c>
      <c r="FB12" s="79">
        <v>129</v>
      </c>
      <c r="FC12" s="79">
        <v>276</v>
      </c>
      <c r="FD12" s="79">
        <v>218</v>
      </c>
      <c r="FE12" s="79">
        <v>138</v>
      </c>
      <c r="FF12" s="79">
        <v>150</v>
      </c>
      <c r="FG12" s="79">
        <v>193</v>
      </c>
      <c r="FH12" s="79">
        <v>485</v>
      </c>
      <c r="FI12" s="79">
        <v>1014</v>
      </c>
      <c r="FJ12" s="79">
        <v>731</v>
      </c>
      <c r="FK12" s="79">
        <v>290</v>
      </c>
    </row>
    <row r="13" spans="1:167" ht="15.75" customHeight="1" x14ac:dyDescent="0.35">
      <c r="A13" s="75" t="s">
        <v>102</v>
      </c>
      <c r="B13" s="76"/>
      <c r="C13" s="76"/>
      <c r="D13" s="77"/>
      <c r="E13" s="78"/>
      <c r="F13" s="78"/>
      <c r="G13" s="79"/>
      <c r="H13" s="78"/>
      <c r="I13" s="78"/>
      <c r="J13" s="78"/>
      <c r="K13" s="78"/>
      <c r="L13" s="78"/>
      <c r="M13" s="78"/>
      <c r="N13" s="78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>
        <v>1</v>
      </c>
      <c r="BG13" s="79">
        <v>9</v>
      </c>
      <c r="BH13" s="79">
        <v>17</v>
      </c>
      <c r="BI13" s="79">
        <v>33</v>
      </c>
      <c r="BJ13" s="79">
        <v>14</v>
      </c>
      <c r="BK13" s="79">
        <v>36</v>
      </c>
      <c r="BL13" s="79">
        <v>25</v>
      </c>
      <c r="BM13" s="79">
        <v>81</v>
      </c>
      <c r="BN13" s="79">
        <v>49</v>
      </c>
      <c r="BO13" s="79">
        <v>38</v>
      </c>
      <c r="BP13" s="79">
        <v>75</v>
      </c>
      <c r="BQ13" s="79">
        <v>77</v>
      </c>
      <c r="BR13" s="79">
        <v>76</v>
      </c>
      <c r="BS13" s="79">
        <v>90</v>
      </c>
      <c r="BT13" s="79">
        <v>45</v>
      </c>
      <c r="BU13" s="79">
        <v>56</v>
      </c>
      <c r="BV13" s="79">
        <v>25</v>
      </c>
      <c r="BW13" s="79">
        <v>79</v>
      </c>
      <c r="BX13" s="79">
        <v>63</v>
      </c>
      <c r="BY13" s="79">
        <v>34</v>
      </c>
      <c r="BZ13" s="79">
        <v>31</v>
      </c>
      <c r="CA13" s="79">
        <v>56</v>
      </c>
      <c r="CB13" s="79">
        <v>55</v>
      </c>
      <c r="CC13" s="79">
        <v>59</v>
      </c>
      <c r="CD13" s="79">
        <v>37</v>
      </c>
      <c r="CE13" s="79">
        <v>34</v>
      </c>
      <c r="CF13" s="79">
        <v>74</v>
      </c>
      <c r="CG13" s="79">
        <v>41</v>
      </c>
      <c r="CH13" s="79">
        <v>45</v>
      </c>
      <c r="CI13" s="79">
        <v>33</v>
      </c>
      <c r="CJ13" s="79">
        <v>38</v>
      </c>
      <c r="CK13" s="79">
        <v>38</v>
      </c>
      <c r="CL13" s="79">
        <v>52</v>
      </c>
      <c r="CM13" s="79">
        <v>41</v>
      </c>
      <c r="CN13" s="79">
        <v>36</v>
      </c>
      <c r="CO13" s="79">
        <v>68</v>
      </c>
      <c r="CP13" s="79">
        <v>36</v>
      </c>
      <c r="CQ13" s="79">
        <v>37</v>
      </c>
      <c r="CR13" s="79">
        <v>68</v>
      </c>
      <c r="CS13" s="79">
        <v>31</v>
      </c>
      <c r="CT13" s="79">
        <v>37</v>
      </c>
      <c r="CU13" s="79">
        <v>34</v>
      </c>
      <c r="CV13" s="79">
        <v>45</v>
      </c>
      <c r="CW13" s="79">
        <v>33</v>
      </c>
      <c r="CX13" s="79">
        <v>101</v>
      </c>
      <c r="CY13" s="79">
        <v>105</v>
      </c>
      <c r="CZ13" s="79">
        <v>49</v>
      </c>
      <c r="DA13" s="79">
        <v>36</v>
      </c>
      <c r="DB13" s="79">
        <v>35</v>
      </c>
      <c r="DC13" s="79">
        <v>62</v>
      </c>
      <c r="DD13" s="79">
        <v>77</v>
      </c>
      <c r="DE13" s="79">
        <v>76</v>
      </c>
      <c r="DF13" s="79">
        <v>45</v>
      </c>
      <c r="DG13" s="79">
        <v>62</v>
      </c>
      <c r="DH13" s="79">
        <v>49</v>
      </c>
      <c r="DI13" s="79">
        <v>95</v>
      </c>
      <c r="DJ13" s="79">
        <v>34</v>
      </c>
      <c r="DK13" s="79">
        <v>62</v>
      </c>
      <c r="DL13" s="79">
        <v>84</v>
      </c>
      <c r="DM13" s="79">
        <v>70</v>
      </c>
      <c r="DN13" s="79">
        <v>44</v>
      </c>
      <c r="DO13" s="79">
        <v>44</v>
      </c>
      <c r="DP13" s="79">
        <v>42</v>
      </c>
      <c r="DQ13" s="79">
        <v>68</v>
      </c>
      <c r="DR13" s="79">
        <v>54</v>
      </c>
      <c r="DS13" s="79">
        <v>35</v>
      </c>
      <c r="DT13" s="79">
        <v>56</v>
      </c>
      <c r="DU13" s="79">
        <v>67</v>
      </c>
      <c r="DV13" s="79">
        <v>60</v>
      </c>
      <c r="DW13" s="79">
        <v>42</v>
      </c>
      <c r="DX13" s="79">
        <v>38</v>
      </c>
      <c r="DY13" s="79">
        <v>49</v>
      </c>
      <c r="DZ13" s="79">
        <v>50</v>
      </c>
      <c r="EA13" s="79">
        <v>68</v>
      </c>
      <c r="EB13" s="79">
        <v>20</v>
      </c>
      <c r="EC13" s="79">
        <v>57</v>
      </c>
      <c r="ED13" s="79">
        <v>50</v>
      </c>
      <c r="EE13" s="79">
        <v>106</v>
      </c>
      <c r="EF13" s="79">
        <v>46</v>
      </c>
      <c r="EG13" s="79">
        <v>34</v>
      </c>
      <c r="EH13" s="79">
        <v>64</v>
      </c>
      <c r="EI13" s="79">
        <v>54</v>
      </c>
      <c r="EJ13" s="79">
        <v>65</v>
      </c>
      <c r="EK13" s="79">
        <v>33</v>
      </c>
      <c r="EL13" s="79">
        <v>58</v>
      </c>
      <c r="EM13" s="79">
        <v>75</v>
      </c>
      <c r="EN13" s="79">
        <v>89</v>
      </c>
      <c r="EO13" s="79">
        <v>136</v>
      </c>
      <c r="EP13" s="79">
        <v>303</v>
      </c>
      <c r="EQ13" s="79">
        <v>390</v>
      </c>
      <c r="ER13" s="79">
        <v>385</v>
      </c>
      <c r="ES13" s="79">
        <v>220</v>
      </c>
      <c r="ET13" s="79">
        <v>516</v>
      </c>
      <c r="EU13" s="79">
        <v>255</v>
      </c>
      <c r="EV13" s="79">
        <v>286</v>
      </c>
      <c r="EW13" s="79">
        <v>118</v>
      </c>
      <c r="EX13" s="79">
        <v>162</v>
      </c>
      <c r="EY13" s="79">
        <v>502</v>
      </c>
      <c r="EZ13" s="79">
        <v>525</v>
      </c>
      <c r="FA13" s="79">
        <v>424</v>
      </c>
      <c r="FB13" s="79">
        <v>323</v>
      </c>
      <c r="FC13" s="79">
        <v>440</v>
      </c>
      <c r="FD13" s="79">
        <v>645</v>
      </c>
      <c r="FE13" s="79">
        <v>669</v>
      </c>
      <c r="FF13" s="79">
        <v>511</v>
      </c>
      <c r="FG13" s="79">
        <v>422</v>
      </c>
      <c r="FH13" s="79">
        <v>253</v>
      </c>
      <c r="FI13" s="79">
        <v>296</v>
      </c>
      <c r="FJ13" s="79">
        <v>226</v>
      </c>
      <c r="FK13" s="79">
        <v>243</v>
      </c>
    </row>
    <row r="14" spans="1:167" ht="15.75" customHeight="1" x14ac:dyDescent="0.35">
      <c r="A14" s="75" t="s">
        <v>223</v>
      </c>
      <c r="B14" s="76"/>
      <c r="C14" s="76"/>
      <c r="D14" s="77"/>
      <c r="E14" s="78"/>
      <c r="F14" s="78"/>
      <c r="G14" s="79"/>
      <c r="H14" s="78"/>
      <c r="I14" s="78"/>
      <c r="J14" s="78"/>
      <c r="K14" s="78"/>
      <c r="L14" s="78"/>
      <c r="M14" s="78"/>
      <c r="N14" s="78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79"/>
      <c r="BM14" s="79"/>
      <c r="BN14" s="79"/>
      <c r="BO14" s="79"/>
      <c r="BP14" s="79"/>
      <c r="BQ14" s="79"/>
      <c r="BR14" s="79"/>
      <c r="BS14" s="79"/>
      <c r="BT14" s="79"/>
      <c r="BU14" s="79"/>
      <c r="BV14" s="79"/>
      <c r="BW14" s="79"/>
      <c r="BX14" s="79"/>
      <c r="BY14" s="79"/>
      <c r="BZ14" s="79"/>
      <c r="CA14" s="79"/>
      <c r="CB14" s="79"/>
      <c r="CC14" s="79"/>
      <c r="CD14" s="79"/>
      <c r="CE14" s="79"/>
      <c r="CF14" s="79"/>
      <c r="CG14" s="79"/>
      <c r="CH14" s="79"/>
      <c r="CI14" s="79"/>
      <c r="CJ14" s="79"/>
      <c r="CK14" s="79"/>
      <c r="CL14" s="79"/>
      <c r="CM14" s="79"/>
      <c r="CN14" s="79"/>
      <c r="CO14" s="79"/>
      <c r="CP14" s="79"/>
      <c r="CQ14" s="79"/>
      <c r="CR14" s="79"/>
      <c r="CS14" s="79"/>
      <c r="CT14" s="79"/>
      <c r="CU14" s="79"/>
      <c r="CV14" s="79"/>
      <c r="CW14" s="79"/>
      <c r="CX14" s="79"/>
      <c r="CY14" s="79"/>
      <c r="CZ14" s="79"/>
      <c r="DA14" s="79"/>
      <c r="DB14" s="79"/>
      <c r="DC14" s="79"/>
      <c r="DD14" s="79"/>
      <c r="DE14" s="79"/>
      <c r="DF14" s="79"/>
      <c r="DG14" s="79"/>
      <c r="DH14" s="79"/>
      <c r="DI14" s="79"/>
      <c r="DJ14" s="79"/>
      <c r="DK14" s="79"/>
      <c r="DL14" s="79"/>
      <c r="DM14" s="79"/>
      <c r="DN14" s="79"/>
      <c r="DO14" s="79"/>
      <c r="DP14" s="79"/>
      <c r="DQ14" s="79"/>
      <c r="DR14" s="79"/>
      <c r="DS14" s="79"/>
      <c r="DT14" s="79"/>
      <c r="DU14" s="79"/>
      <c r="DV14" s="79"/>
      <c r="DW14" s="79"/>
      <c r="DX14" s="79"/>
      <c r="DY14" s="79"/>
      <c r="DZ14" s="79"/>
      <c r="EA14" s="79"/>
      <c r="EB14" s="79"/>
      <c r="EC14" s="79"/>
      <c r="ED14" s="79"/>
      <c r="EE14" s="79"/>
      <c r="EF14" s="79"/>
      <c r="EG14" s="79"/>
      <c r="EH14" s="79"/>
      <c r="EI14" s="79"/>
      <c r="EJ14" s="79"/>
      <c r="EK14" s="79"/>
      <c r="EL14" s="79"/>
      <c r="EM14" s="79"/>
      <c r="EN14" s="79"/>
      <c r="EO14" s="79"/>
      <c r="EP14" s="79"/>
      <c r="EQ14" s="79">
        <v>0</v>
      </c>
      <c r="ER14" s="79">
        <v>0</v>
      </c>
      <c r="ES14" s="79">
        <v>0</v>
      </c>
      <c r="ET14" s="79">
        <v>4</v>
      </c>
      <c r="EU14" s="79">
        <v>2</v>
      </c>
      <c r="EV14" s="79">
        <v>2</v>
      </c>
      <c r="EW14" s="79">
        <v>0</v>
      </c>
      <c r="EX14" s="79">
        <v>2</v>
      </c>
      <c r="EY14" s="79">
        <v>0</v>
      </c>
      <c r="EZ14" s="79">
        <v>2</v>
      </c>
      <c r="FA14" s="79">
        <v>0</v>
      </c>
      <c r="FB14" s="79">
        <v>0</v>
      </c>
      <c r="FC14" s="79">
        <v>0</v>
      </c>
      <c r="FD14" s="79">
        <v>2</v>
      </c>
      <c r="FE14" s="79">
        <v>0</v>
      </c>
      <c r="FF14" s="79">
        <v>0</v>
      </c>
      <c r="FG14" s="79">
        <v>4</v>
      </c>
      <c r="FH14" s="79">
        <v>0</v>
      </c>
      <c r="FI14" s="79">
        <v>2</v>
      </c>
      <c r="FJ14" s="79">
        <v>2</v>
      </c>
      <c r="FK14" s="79">
        <v>0</v>
      </c>
    </row>
    <row r="15" spans="1:167" ht="15.75" customHeight="1" x14ac:dyDescent="0.35">
      <c r="A15" s="75" t="s">
        <v>105</v>
      </c>
      <c r="B15" s="76"/>
      <c r="C15" s="76"/>
      <c r="D15" s="77"/>
      <c r="E15" s="78"/>
      <c r="F15" s="78"/>
      <c r="G15" s="79"/>
      <c r="H15" s="78"/>
      <c r="I15" s="78"/>
      <c r="J15" s="78"/>
      <c r="K15" s="78"/>
      <c r="L15" s="78"/>
      <c r="M15" s="78"/>
      <c r="N15" s="78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79"/>
      <c r="BM15" s="79"/>
      <c r="BN15" s="79"/>
      <c r="BO15" s="79"/>
      <c r="BP15" s="79"/>
      <c r="BQ15" s="79"/>
      <c r="BR15" s="79"/>
      <c r="BS15" s="79"/>
      <c r="BT15" s="79"/>
      <c r="BU15" s="79"/>
      <c r="BV15" s="79"/>
      <c r="BW15" s="79"/>
      <c r="BX15" s="79"/>
      <c r="BY15" s="79"/>
      <c r="BZ15" s="79"/>
      <c r="CA15" s="79"/>
      <c r="CB15" s="79"/>
      <c r="CC15" s="79"/>
      <c r="CD15" s="79"/>
      <c r="CE15" s="79"/>
      <c r="CF15" s="79"/>
      <c r="CG15" s="79"/>
      <c r="CH15" s="79"/>
      <c r="CI15" s="79"/>
      <c r="CJ15" s="79"/>
      <c r="CK15" s="79"/>
      <c r="CL15" s="79"/>
      <c r="CM15" s="79"/>
      <c r="CN15" s="79"/>
      <c r="CO15" s="79"/>
      <c r="CP15" s="79"/>
      <c r="CQ15" s="79"/>
      <c r="CR15" s="79"/>
      <c r="CS15" s="79"/>
      <c r="CT15" s="79"/>
      <c r="CU15" s="79"/>
      <c r="CV15" s="79"/>
      <c r="CW15" s="79"/>
      <c r="CX15" s="79"/>
      <c r="CY15" s="79"/>
      <c r="CZ15" s="79"/>
      <c r="DA15" s="79"/>
      <c r="DB15" s="79"/>
      <c r="DC15" s="79"/>
      <c r="DD15" s="79"/>
      <c r="DE15" s="79"/>
      <c r="DF15" s="79"/>
      <c r="DG15" s="79"/>
      <c r="DH15" s="79"/>
      <c r="DI15" s="79"/>
      <c r="DJ15" s="79"/>
      <c r="DK15" s="79"/>
      <c r="DL15" s="79"/>
      <c r="DM15" s="79"/>
      <c r="DN15" s="79"/>
      <c r="DO15" s="79"/>
      <c r="DP15" s="79"/>
      <c r="DQ15" s="79"/>
      <c r="DR15" s="79"/>
      <c r="DS15" s="79"/>
      <c r="DT15" s="79"/>
      <c r="DU15" s="79"/>
      <c r="DV15" s="79"/>
      <c r="DW15" s="79"/>
      <c r="DX15" s="79"/>
      <c r="DY15" s="79"/>
      <c r="DZ15" s="79"/>
      <c r="EA15" s="79"/>
      <c r="EB15" s="79"/>
      <c r="EC15" s="79"/>
      <c r="ED15" s="79"/>
      <c r="EE15" s="79"/>
      <c r="EF15" s="79"/>
      <c r="EG15" s="79"/>
      <c r="EH15" s="79"/>
      <c r="EI15" s="79"/>
      <c r="EJ15" s="79"/>
      <c r="EK15" s="79"/>
      <c r="EL15" s="79"/>
      <c r="EM15" s="79"/>
      <c r="EN15" s="79"/>
      <c r="EO15" s="79"/>
      <c r="EP15" s="79"/>
      <c r="EQ15" s="79"/>
      <c r="ER15" s="79"/>
      <c r="ES15" s="79"/>
      <c r="ET15" s="79"/>
      <c r="EU15" s="79"/>
      <c r="EV15" s="79"/>
      <c r="EW15" s="79"/>
      <c r="EX15" s="79"/>
      <c r="EY15" s="79"/>
      <c r="EZ15" s="79"/>
      <c r="FA15" s="79">
        <v>0</v>
      </c>
      <c r="FB15" s="79">
        <v>0</v>
      </c>
      <c r="FC15" s="79">
        <v>0</v>
      </c>
      <c r="FD15" s="79">
        <v>1</v>
      </c>
      <c r="FE15" s="79">
        <v>4</v>
      </c>
      <c r="FF15" s="79">
        <v>0</v>
      </c>
      <c r="FG15" s="79">
        <v>1</v>
      </c>
      <c r="FH15" s="79">
        <v>0</v>
      </c>
      <c r="FI15" s="79">
        <v>1</v>
      </c>
      <c r="FJ15" s="79">
        <v>0</v>
      </c>
      <c r="FK15" s="79">
        <v>0</v>
      </c>
    </row>
    <row r="16" spans="1:167" ht="15.75" customHeight="1" x14ac:dyDescent="0.35">
      <c r="A16" s="75" t="s">
        <v>101</v>
      </c>
      <c r="B16" s="76">
        <v>38</v>
      </c>
      <c r="C16" s="76">
        <v>19</v>
      </c>
      <c r="D16" s="77">
        <v>37</v>
      </c>
      <c r="E16" s="78">
        <v>51</v>
      </c>
      <c r="F16" s="78">
        <v>33</v>
      </c>
      <c r="G16" s="79">
        <v>37</v>
      </c>
      <c r="H16" s="78">
        <v>40</v>
      </c>
      <c r="I16" s="78">
        <v>43</v>
      </c>
      <c r="J16" s="78">
        <v>21</v>
      </c>
      <c r="K16" s="78">
        <v>20</v>
      </c>
      <c r="L16" s="78">
        <v>21</v>
      </c>
      <c r="M16" s="78">
        <v>17</v>
      </c>
      <c r="N16" s="78">
        <v>24</v>
      </c>
      <c r="O16" s="79">
        <v>28</v>
      </c>
      <c r="P16" s="79">
        <v>31</v>
      </c>
      <c r="Q16" s="79">
        <v>21</v>
      </c>
      <c r="R16" s="79">
        <v>21</v>
      </c>
      <c r="S16" s="79">
        <v>18</v>
      </c>
      <c r="T16" s="79">
        <v>18</v>
      </c>
      <c r="U16" s="79">
        <v>26</v>
      </c>
      <c r="V16" s="79">
        <v>25</v>
      </c>
      <c r="W16" s="79">
        <v>30</v>
      </c>
      <c r="X16" s="79">
        <v>22</v>
      </c>
      <c r="Y16" s="79">
        <v>23</v>
      </c>
      <c r="Z16" s="79">
        <v>63</v>
      </c>
      <c r="AA16" s="79">
        <v>31</v>
      </c>
      <c r="AB16" s="79">
        <v>25</v>
      </c>
      <c r="AC16" s="79">
        <v>45</v>
      </c>
      <c r="AD16" s="79">
        <v>22</v>
      </c>
      <c r="AE16" s="79">
        <v>24</v>
      </c>
      <c r="AF16" s="79">
        <v>24</v>
      </c>
      <c r="AG16" s="79">
        <v>26</v>
      </c>
      <c r="AH16" s="79">
        <v>31</v>
      </c>
      <c r="AI16" s="79">
        <v>24</v>
      </c>
      <c r="AJ16" s="79">
        <v>11</v>
      </c>
      <c r="AK16" s="79">
        <v>21</v>
      </c>
      <c r="AL16" s="79">
        <v>40</v>
      </c>
      <c r="AM16" s="79">
        <v>61</v>
      </c>
      <c r="AN16" s="79">
        <v>58</v>
      </c>
      <c r="AO16" s="79">
        <v>38</v>
      </c>
      <c r="AP16" s="79">
        <v>38</v>
      </c>
      <c r="AQ16" s="79">
        <v>31</v>
      </c>
      <c r="AR16" s="79">
        <v>37</v>
      </c>
      <c r="AS16" s="79">
        <v>33</v>
      </c>
      <c r="AT16" s="79">
        <v>31</v>
      </c>
      <c r="AU16" s="79">
        <v>33</v>
      </c>
      <c r="AV16" s="79">
        <v>38</v>
      </c>
      <c r="AW16" s="79">
        <v>34</v>
      </c>
      <c r="AX16" s="79"/>
      <c r="AY16" s="79">
        <f>VLOOKUP(A16,[1]Sheet1!$A:$B,2,FALSE)</f>
        <v>69</v>
      </c>
      <c r="AZ16" s="79">
        <f>VLOOKUP(A16,[2]Sheet1!$A:$B,2,FALSE)</f>
        <v>33</v>
      </c>
      <c r="BA16" s="79">
        <f>VLOOKUP(A16,[3]Stats!$A:$B,2,FALSE)</f>
        <v>27</v>
      </c>
      <c r="BB16" s="79">
        <v>36</v>
      </c>
      <c r="BC16" s="79">
        <v>32</v>
      </c>
      <c r="BD16" s="79">
        <v>24</v>
      </c>
      <c r="BE16" s="79">
        <v>59</v>
      </c>
      <c r="BF16" s="79">
        <v>23</v>
      </c>
      <c r="BG16" s="79">
        <v>31</v>
      </c>
      <c r="BH16" s="79">
        <v>31</v>
      </c>
      <c r="BI16" s="79">
        <v>24</v>
      </c>
      <c r="BJ16" s="79">
        <v>28</v>
      </c>
      <c r="BK16" s="79">
        <v>36</v>
      </c>
      <c r="BL16" s="79">
        <v>26</v>
      </c>
      <c r="BM16" s="79">
        <v>31</v>
      </c>
      <c r="BN16" s="79">
        <v>27</v>
      </c>
      <c r="BO16" s="79">
        <v>34</v>
      </c>
      <c r="BP16" s="79">
        <v>27</v>
      </c>
      <c r="BQ16" s="79">
        <v>21</v>
      </c>
      <c r="BR16" s="79">
        <v>15</v>
      </c>
      <c r="BS16" s="79">
        <v>9</v>
      </c>
      <c r="BT16" s="79">
        <v>15</v>
      </c>
      <c r="BU16" s="79">
        <v>17</v>
      </c>
      <c r="BV16" s="79">
        <v>12</v>
      </c>
      <c r="BW16" s="79">
        <v>15</v>
      </c>
      <c r="BX16" s="79">
        <v>9</v>
      </c>
      <c r="BY16" s="79">
        <v>5</v>
      </c>
      <c r="BZ16" s="79">
        <v>14</v>
      </c>
      <c r="CA16" s="79">
        <v>17</v>
      </c>
      <c r="CB16" s="79">
        <v>13</v>
      </c>
      <c r="CC16" s="79">
        <v>27</v>
      </c>
      <c r="CD16" s="79">
        <v>27</v>
      </c>
      <c r="CE16" s="79">
        <v>11</v>
      </c>
      <c r="CF16" s="79">
        <v>22</v>
      </c>
      <c r="CG16" s="79">
        <v>12</v>
      </c>
      <c r="CH16" s="79">
        <v>12</v>
      </c>
      <c r="CI16" s="79">
        <v>11</v>
      </c>
      <c r="CJ16" s="79">
        <v>10</v>
      </c>
      <c r="CK16" s="79">
        <v>8</v>
      </c>
      <c r="CL16" s="79">
        <v>12</v>
      </c>
      <c r="CM16" s="79">
        <v>9</v>
      </c>
      <c r="CN16" s="79">
        <v>16</v>
      </c>
      <c r="CO16" s="79">
        <v>3</v>
      </c>
      <c r="CP16" s="79">
        <v>8</v>
      </c>
      <c r="CQ16" s="79">
        <v>9</v>
      </c>
      <c r="CR16" s="79">
        <v>8</v>
      </c>
      <c r="CS16" s="79">
        <v>5</v>
      </c>
      <c r="CT16" s="79">
        <v>9</v>
      </c>
      <c r="CU16" s="79">
        <v>7</v>
      </c>
      <c r="CV16" s="79">
        <v>8</v>
      </c>
      <c r="CW16" s="79">
        <v>7</v>
      </c>
      <c r="CX16" s="79">
        <v>5</v>
      </c>
      <c r="CY16" s="79">
        <v>6</v>
      </c>
      <c r="CZ16" s="79">
        <v>4</v>
      </c>
      <c r="DA16" s="79">
        <v>12</v>
      </c>
      <c r="DB16" s="79">
        <v>8</v>
      </c>
      <c r="DC16" s="79">
        <v>11</v>
      </c>
      <c r="DD16" s="79">
        <v>12</v>
      </c>
      <c r="DE16" s="79">
        <v>2</v>
      </c>
      <c r="DF16" s="79">
        <v>6</v>
      </c>
      <c r="DG16" s="79">
        <v>4</v>
      </c>
      <c r="DH16" s="79">
        <v>4</v>
      </c>
      <c r="DI16" s="79">
        <v>8</v>
      </c>
      <c r="DJ16" s="79">
        <v>6</v>
      </c>
      <c r="DK16" s="79">
        <v>6</v>
      </c>
      <c r="DL16" s="79">
        <v>13</v>
      </c>
      <c r="DM16" s="79">
        <v>18</v>
      </c>
      <c r="DN16" s="79">
        <v>5</v>
      </c>
      <c r="DO16" s="79">
        <v>4</v>
      </c>
      <c r="DP16" s="79">
        <v>4</v>
      </c>
      <c r="DQ16" s="79">
        <v>2</v>
      </c>
      <c r="DR16" s="79">
        <v>8</v>
      </c>
      <c r="DS16" s="79">
        <v>9</v>
      </c>
      <c r="DT16" s="79">
        <v>7</v>
      </c>
      <c r="DU16" s="79">
        <v>0</v>
      </c>
      <c r="DV16" s="79">
        <v>3</v>
      </c>
      <c r="DW16" s="79">
        <v>1</v>
      </c>
      <c r="DX16" s="79">
        <v>0</v>
      </c>
      <c r="DY16" s="79">
        <v>1</v>
      </c>
      <c r="DZ16" s="79">
        <v>3</v>
      </c>
      <c r="EA16" s="79">
        <v>0</v>
      </c>
      <c r="EB16" s="79">
        <v>3</v>
      </c>
      <c r="EC16" s="79">
        <v>1</v>
      </c>
      <c r="ED16" s="79">
        <v>3</v>
      </c>
      <c r="EE16" s="79">
        <v>6</v>
      </c>
      <c r="EF16" s="79">
        <v>0</v>
      </c>
      <c r="EG16" s="79">
        <v>8</v>
      </c>
      <c r="EH16" s="79">
        <v>1</v>
      </c>
      <c r="EI16" s="79">
        <v>0</v>
      </c>
      <c r="EJ16" s="79">
        <v>0</v>
      </c>
      <c r="EK16" s="79">
        <v>1</v>
      </c>
      <c r="EL16" s="79">
        <v>4</v>
      </c>
      <c r="EM16" s="79">
        <v>1</v>
      </c>
      <c r="EN16" s="79">
        <v>0</v>
      </c>
      <c r="EO16" s="79">
        <v>1</v>
      </c>
      <c r="EP16" s="79">
        <v>0</v>
      </c>
      <c r="EQ16" s="79">
        <v>21</v>
      </c>
      <c r="ER16" s="79">
        <v>7</v>
      </c>
      <c r="ES16" s="79">
        <v>14</v>
      </c>
      <c r="ET16" s="79">
        <v>5</v>
      </c>
      <c r="EU16" s="79">
        <v>5</v>
      </c>
      <c r="EV16" s="79">
        <v>9</v>
      </c>
      <c r="EW16" s="79">
        <v>0</v>
      </c>
      <c r="EX16" s="79">
        <v>1</v>
      </c>
      <c r="EY16" s="79">
        <v>1</v>
      </c>
      <c r="EZ16" s="79">
        <v>6</v>
      </c>
      <c r="FA16" s="79">
        <v>4</v>
      </c>
      <c r="FB16" s="79">
        <v>6</v>
      </c>
      <c r="FC16" s="79">
        <v>3</v>
      </c>
      <c r="FD16" s="79">
        <v>1</v>
      </c>
      <c r="FE16" s="79">
        <v>3</v>
      </c>
      <c r="FF16" s="79">
        <v>0</v>
      </c>
      <c r="FG16" s="79">
        <v>2</v>
      </c>
      <c r="FH16" s="79">
        <v>1</v>
      </c>
      <c r="FI16" s="79">
        <v>2</v>
      </c>
      <c r="FJ16" s="79">
        <v>0</v>
      </c>
      <c r="FK16" s="79">
        <v>0</v>
      </c>
    </row>
    <row r="17" spans="1:167" ht="15.75" customHeight="1" x14ac:dyDescent="0.35">
      <c r="A17" s="81" t="s">
        <v>43</v>
      </c>
      <c r="B17" s="82">
        <f t="shared" ref="B17:S17" si="0">SUM(B1:B10)</f>
        <v>2</v>
      </c>
      <c r="C17" s="82">
        <f t="shared" si="0"/>
        <v>7</v>
      </c>
      <c r="D17" s="82">
        <f t="shared" si="0"/>
        <v>11</v>
      </c>
      <c r="E17" s="82">
        <f t="shared" si="0"/>
        <v>6</v>
      </c>
      <c r="F17" s="82">
        <f t="shared" si="0"/>
        <v>36</v>
      </c>
      <c r="G17" s="82">
        <f t="shared" si="0"/>
        <v>30</v>
      </c>
      <c r="H17" s="82">
        <f t="shared" si="0"/>
        <v>3</v>
      </c>
      <c r="I17" s="83">
        <f t="shared" si="0"/>
        <v>6</v>
      </c>
      <c r="J17" s="84">
        <f t="shared" si="0"/>
        <v>7</v>
      </c>
      <c r="K17" s="83">
        <f t="shared" si="0"/>
        <v>11</v>
      </c>
      <c r="L17" s="83">
        <f t="shared" si="0"/>
        <v>8</v>
      </c>
      <c r="M17" s="83">
        <f t="shared" si="0"/>
        <v>4</v>
      </c>
      <c r="N17" s="83">
        <f t="shared" si="0"/>
        <v>5</v>
      </c>
      <c r="O17" s="84">
        <f t="shared" si="0"/>
        <v>15</v>
      </c>
      <c r="P17" s="84">
        <f t="shared" si="0"/>
        <v>6</v>
      </c>
      <c r="Q17" s="84">
        <f t="shared" si="0"/>
        <v>3</v>
      </c>
      <c r="R17" s="84">
        <f t="shared" si="0"/>
        <v>5</v>
      </c>
      <c r="S17" s="84">
        <f t="shared" si="0"/>
        <v>26</v>
      </c>
      <c r="T17" s="84">
        <v>83</v>
      </c>
      <c r="U17" s="84">
        <f t="shared" ref="U17:AS17" si="1">SUM(U1:U10)</f>
        <v>64</v>
      </c>
      <c r="V17" s="84">
        <f t="shared" si="1"/>
        <v>7</v>
      </c>
      <c r="W17" s="84">
        <f t="shared" si="1"/>
        <v>50</v>
      </c>
      <c r="X17" s="84">
        <f t="shared" si="1"/>
        <v>75</v>
      </c>
      <c r="Y17" s="84">
        <f t="shared" si="1"/>
        <v>84</v>
      </c>
      <c r="Z17" s="84">
        <f t="shared" si="1"/>
        <v>117</v>
      </c>
      <c r="AA17" s="84">
        <f t="shared" si="1"/>
        <v>220</v>
      </c>
      <c r="AB17" s="84">
        <f t="shared" si="1"/>
        <v>67</v>
      </c>
      <c r="AC17" s="84">
        <f t="shared" si="1"/>
        <v>78</v>
      </c>
      <c r="AD17" s="84">
        <f t="shared" si="1"/>
        <v>102</v>
      </c>
      <c r="AE17" s="84">
        <f t="shared" si="1"/>
        <v>65</v>
      </c>
      <c r="AF17" s="84">
        <f t="shared" si="1"/>
        <v>86</v>
      </c>
      <c r="AG17" s="84">
        <f t="shared" si="1"/>
        <v>79</v>
      </c>
      <c r="AH17" s="84">
        <f t="shared" si="1"/>
        <v>81</v>
      </c>
      <c r="AI17" s="84">
        <f t="shared" si="1"/>
        <v>67</v>
      </c>
      <c r="AJ17" s="84">
        <f t="shared" si="1"/>
        <v>139</v>
      </c>
      <c r="AK17" s="84">
        <f t="shared" si="1"/>
        <v>102</v>
      </c>
      <c r="AL17" s="84">
        <f t="shared" si="1"/>
        <v>214</v>
      </c>
      <c r="AM17" s="84">
        <f t="shared" si="1"/>
        <v>221</v>
      </c>
      <c r="AN17" s="84">
        <f t="shared" si="1"/>
        <v>147</v>
      </c>
      <c r="AO17" s="79">
        <f t="shared" si="1"/>
        <v>122</v>
      </c>
      <c r="AP17" s="79">
        <f t="shared" si="1"/>
        <v>106</v>
      </c>
      <c r="AQ17" s="79">
        <f t="shared" si="1"/>
        <v>88</v>
      </c>
      <c r="AR17" s="79">
        <f t="shared" si="1"/>
        <v>99</v>
      </c>
      <c r="AS17" s="79">
        <f t="shared" si="1"/>
        <v>104</v>
      </c>
      <c r="AT17" s="79">
        <f t="shared" ref="AT17:BA17" si="2">SUM(AT2:AT16)</f>
        <v>189</v>
      </c>
      <c r="AU17" s="79">
        <f t="shared" si="2"/>
        <v>174</v>
      </c>
      <c r="AV17" s="79">
        <f t="shared" si="2"/>
        <v>264</v>
      </c>
      <c r="AW17" s="79">
        <f t="shared" si="2"/>
        <v>210</v>
      </c>
      <c r="AX17" s="79">
        <f t="shared" si="2"/>
        <v>0</v>
      </c>
      <c r="AY17" s="84">
        <f t="shared" si="2"/>
        <v>352</v>
      </c>
      <c r="AZ17" s="84">
        <f t="shared" si="2"/>
        <v>192</v>
      </c>
      <c r="BA17" s="84" t="e">
        <f t="shared" si="2"/>
        <v>#N/A</v>
      </c>
      <c r="BB17" s="84">
        <v>154</v>
      </c>
      <c r="BC17" s="84">
        <v>181</v>
      </c>
      <c r="BD17" s="84">
        <v>137</v>
      </c>
      <c r="BE17" s="84">
        <v>194</v>
      </c>
      <c r="BF17" s="84">
        <v>98</v>
      </c>
      <c r="BG17" s="84">
        <v>145</v>
      </c>
      <c r="BH17" s="84">
        <v>181</v>
      </c>
      <c r="BI17" s="84">
        <v>188</v>
      </c>
      <c r="BJ17" s="84">
        <f>SUM(BJ2:BJ16)</f>
        <v>137</v>
      </c>
      <c r="BK17" s="84">
        <f>SUM(BK2:BK16)</f>
        <v>166</v>
      </c>
      <c r="BL17" s="84">
        <f>SUM(BL2:BL16)</f>
        <v>214</v>
      </c>
      <c r="BM17" s="84">
        <f>SUM(BM2:BM16)</f>
        <v>290</v>
      </c>
      <c r="BN17" s="84">
        <v>181</v>
      </c>
      <c r="BO17" s="84">
        <f>SUM(BO2:BO16)</f>
        <v>176</v>
      </c>
      <c r="BP17" s="84">
        <v>292</v>
      </c>
      <c r="BQ17" s="84">
        <v>180</v>
      </c>
      <c r="BR17" s="84">
        <v>208</v>
      </c>
      <c r="BS17" s="84">
        <v>221</v>
      </c>
      <c r="BT17" s="84">
        <v>209</v>
      </c>
      <c r="BU17" s="84">
        <v>196</v>
      </c>
      <c r="BV17" s="84">
        <v>145</v>
      </c>
      <c r="BW17" s="84">
        <v>208</v>
      </c>
      <c r="BX17" s="84">
        <v>252</v>
      </c>
      <c r="BY17" s="84">
        <v>188</v>
      </c>
      <c r="BZ17" s="84">
        <v>243</v>
      </c>
      <c r="CA17" s="84">
        <v>172</v>
      </c>
      <c r="CB17" s="84">
        <v>258</v>
      </c>
      <c r="CC17" s="84">
        <v>247</v>
      </c>
      <c r="CD17" s="84">
        <v>254</v>
      </c>
      <c r="CE17" s="84">
        <v>158</v>
      </c>
      <c r="CF17" s="84">
        <v>208</v>
      </c>
      <c r="CG17" s="84">
        <v>381</v>
      </c>
      <c r="CH17" s="84">
        <v>302</v>
      </c>
      <c r="CI17" s="84">
        <v>262</v>
      </c>
      <c r="CJ17" s="84">
        <v>249</v>
      </c>
      <c r="CK17" s="84">
        <v>235</v>
      </c>
      <c r="CL17" s="84">
        <v>222</v>
      </c>
      <c r="CM17" s="84">
        <v>246</v>
      </c>
      <c r="CN17" s="84">
        <v>398</v>
      </c>
      <c r="CO17" s="84">
        <v>428</v>
      </c>
      <c r="CP17" s="84">
        <v>303</v>
      </c>
      <c r="CQ17" s="84">
        <v>362</v>
      </c>
      <c r="CR17" s="84">
        <v>219</v>
      </c>
      <c r="CS17" s="84">
        <v>181</v>
      </c>
      <c r="CT17" s="84">
        <v>222</v>
      </c>
      <c r="CU17" s="84">
        <v>256</v>
      </c>
      <c r="CV17" s="84">
        <v>290</v>
      </c>
      <c r="CW17" s="84">
        <v>140</v>
      </c>
      <c r="CX17" s="84">
        <v>237</v>
      </c>
      <c r="CY17" s="84">
        <v>238</v>
      </c>
      <c r="CZ17" s="84">
        <v>229</v>
      </c>
      <c r="DA17" s="84">
        <v>332</v>
      </c>
      <c r="DB17" s="84">
        <v>183</v>
      </c>
      <c r="DC17" s="84">
        <v>234</v>
      </c>
      <c r="DD17" s="84">
        <v>222</v>
      </c>
      <c r="DE17" s="84">
        <v>362</v>
      </c>
      <c r="DF17" s="84">
        <v>163</v>
      </c>
      <c r="DG17" s="84">
        <v>272</v>
      </c>
      <c r="DH17" s="84">
        <v>186</v>
      </c>
      <c r="DI17" s="84">
        <v>223</v>
      </c>
      <c r="DJ17" s="84">
        <v>169</v>
      </c>
      <c r="DK17" s="84">
        <v>151</v>
      </c>
      <c r="DL17" s="84">
        <v>215</v>
      </c>
      <c r="DM17" s="84">
        <v>444</v>
      </c>
      <c r="DN17" s="84">
        <v>205</v>
      </c>
      <c r="DO17" s="84">
        <v>595</v>
      </c>
      <c r="DP17" s="84">
        <v>156</v>
      </c>
      <c r="DQ17" s="84">
        <v>243</v>
      </c>
      <c r="DR17" s="84">
        <v>209</v>
      </c>
      <c r="DS17" s="84">
        <v>223</v>
      </c>
      <c r="DT17" s="84">
        <v>182</v>
      </c>
      <c r="DU17" s="84">
        <v>249</v>
      </c>
      <c r="DV17" s="84">
        <v>5551</v>
      </c>
      <c r="DW17" s="84">
        <v>200</v>
      </c>
      <c r="DX17" s="84">
        <v>189</v>
      </c>
      <c r="DY17" s="84">
        <v>289</v>
      </c>
      <c r="DZ17" s="84">
        <v>261</v>
      </c>
      <c r="EA17" s="84">
        <v>2860</v>
      </c>
      <c r="EB17" s="84">
        <v>209</v>
      </c>
      <c r="EC17" s="84">
        <v>249</v>
      </c>
      <c r="ED17" s="84">
        <v>244</v>
      </c>
      <c r="EE17" s="84">
        <v>247</v>
      </c>
      <c r="EF17" s="84">
        <v>184</v>
      </c>
      <c r="EG17" s="84">
        <v>166</v>
      </c>
      <c r="EH17" s="84">
        <v>402</v>
      </c>
      <c r="EI17" s="84">
        <v>380</v>
      </c>
      <c r="EJ17" s="84">
        <v>232</v>
      </c>
      <c r="EK17" s="84">
        <v>148</v>
      </c>
      <c r="EL17" s="84">
        <v>389</v>
      </c>
      <c r="EM17" s="84">
        <v>419</v>
      </c>
      <c r="EN17" s="84">
        <v>562</v>
      </c>
      <c r="EO17" s="84">
        <v>1000</v>
      </c>
      <c r="EP17" s="84">
        <v>1180</v>
      </c>
      <c r="EQ17" s="84">
        <v>1304</v>
      </c>
      <c r="ER17" s="84">
        <v>1552</v>
      </c>
      <c r="ES17" s="84">
        <v>653</v>
      </c>
      <c r="ET17" s="84">
        <v>1002</v>
      </c>
      <c r="EU17" s="84">
        <v>1101</v>
      </c>
      <c r="EV17" s="84">
        <v>869</v>
      </c>
      <c r="EW17" s="84">
        <v>552</v>
      </c>
      <c r="EX17" s="84">
        <v>720</v>
      </c>
      <c r="EY17" s="84">
        <v>991</v>
      </c>
      <c r="EZ17" s="84">
        <v>1350</v>
      </c>
      <c r="FA17" s="84">
        <v>1141</v>
      </c>
      <c r="FB17" s="84">
        <v>717</v>
      </c>
      <c r="FC17" s="84">
        <v>1263</v>
      </c>
      <c r="FD17" s="84">
        <v>1417</v>
      </c>
      <c r="FE17" s="84">
        <v>1205</v>
      </c>
      <c r="FF17" s="84">
        <v>1037</v>
      </c>
      <c r="FG17" s="84">
        <v>1149</v>
      </c>
      <c r="FH17" s="84">
        <v>1458</v>
      </c>
      <c r="FI17" s="84">
        <f>SUM(FI2:FI16)</f>
        <v>1439</v>
      </c>
      <c r="FJ17" s="84">
        <f>SUM(FJ2:FJ16)</f>
        <v>1099</v>
      </c>
      <c r="FK17" s="84">
        <v>657</v>
      </c>
    </row>
    <row r="18" spans="1:167" ht="15.75" customHeight="1" x14ac:dyDescent="0.35">
      <c r="A18" s="85"/>
      <c r="B18" s="86"/>
      <c r="C18" s="86"/>
      <c r="D18" s="86"/>
      <c r="E18" s="86"/>
      <c r="F18" s="86"/>
    </row>
    <row r="20" spans="1:167" ht="15.75" customHeight="1" x14ac:dyDescent="0.35">
      <c r="A20" s="73" t="s">
        <v>202</v>
      </c>
      <c r="B20" s="73" t="s">
        <v>203</v>
      </c>
      <c r="C20" s="73" t="s">
        <v>47</v>
      </c>
      <c r="D20" s="73" t="s">
        <v>48</v>
      </c>
      <c r="E20" s="73" t="s">
        <v>49</v>
      </c>
      <c r="F20" s="73" t="s">
        <v>50</v>
      </c>
      <c r="G20" s="73" t="s">
        <v>51</v>
      </c>
      <c r="H20" s="73" t="s">
        <v>52</v>
      </c>
      <c r="I20" s="73" t="s">
        <v>53</v>
      </c>
      <c r="J20" s="73" t="s">
        <v>54</v>
      </c>
      <c r="K20" s="73" t="s">
        <v>55</v>
      </c>
      <c r="L20" s="73" t="s">
        <v>56</v>
      </c>
      <c r="M20" s="73" t="s">
        <v>57</v>
      </c>
      <c r="N20" s="73" t="s">
        <v>58</v>
      </c>
      <c r="O20" s="74" t="s">
        <v>59</v>
      </c>
      <c r="P20" s="74" t="s">
        <v>60</v>
      </c>
      <c r="Q20" s="74" t="s">
        <v>61</v>
      </c>
      <c r="R20" s="74" t="s">
        <v>62</v>
      </c>
      <c r="S20" s="74" t="s">
        <v>63</v>
      </c>
      <c r="T20" s="74" t="s">
        <v>64</v>
      </c>
      <c r="U20" s="74" t="s">
        <v>65</v>
      </c>
      <c r="V20" s="74" t="s">
        <v>66</v>
      </c>
      <c r="W20" s="74" t="s">
        <v>67</v>
      </c>
      <c r="X20" s="74" t="s">
        <v>68</v>
      </c>
      <c r="Y20" s="74" t="s">
        <v>69</v>
      </c>
      <c r="Z20" s="74" t="s">
        <v>70</v>
      </c>
      <c r="AA20" s="74" t="s">
        <v>71</v>
      </c>
      <c r="AB20" s="74" t="s">
        <v>72</v>
      </c>
      <c r="AC20" s="74" t="s">
        <v>73</v>
      </c>
      <c r="AD20" s="74" t="s">
        <v>74</v>
      </c>
      <c r="AE20" s="74" t="s">
        <v>75</v>
      </c>
      <c r="AF20" s="74" t="s">
        <v>76</v>
      </c>
      <c r="AG20" s="74" t="s">
        <v>77</v>
      </c>
      <c r="AH20" s="74" t="s">
        <v>78</v>
      </c>
      <c r="AI20" s="74" t="s">
        <v>79</v>
      </c>
      <c r="AJ20" s="74" t="s">
        <v>80</v>
      </c>
      <c r="AK20" s="74" t="s">
        <v>81</v>
      </c>
      <c r="AL20" s="74" t="s">
        <v>82</v>
      </c>
      <c r="AM20" s="74" t="s">
        <v>83</v>
      </c>
      <c r="AN20" s="74" t="s">
        <v>84</v>
      </c>
      <c r="AO20" s="74" t="s">
        <v>85</v>
      </c>
      <c r="AP20" s="74" t="s">
        <v>86</v>
      </c>
      <c r="AQ20" s="74" t="s">
        <v>87</v>
      </c>
      <c r="AR20" s="74" t="s">
        <v>88</v>
      </c>
      <c r="AS20" s="74" t="s">
        <v>89</v>
      </c>
      <c r="AT20" s="74" t="s">
        <v>90</v>
      </c>
      <c r="AU20" s="74" t="s">
        <v>91</v>
      </c>
      <c r="AV20" s="74" t="s">
        <v>92</v>
      </c>
      <c r="AW20" s="74" t="s">
        <v>93</v>
      </c>
      <c r="AX20" s="74" t="s">
        <v>94</v>
      </c>
      <c r="AY20" s="74" t="s">
        <v>95</v>
      </c>
      <c r="AZ20" s="74" t="s">
        <v>96</v>
      </c>
      <c r="BA20" s="74" t="s">
        <v>97</v>
      </c>
      <c r="BB20" s="74" t="s">
        <v>46</v>
      </c>
      <c r="BC20" s="74" t="s">
        <v>47</v>
      </c>
      <c r="BD20" s="74" t="s">
        <v>48</v>
      </c>
      <c r="BE20" s="74" t="s">
        <v>49</v>
      </c>
      <c r="BF20" s="74" t="s">
        <v>50</v>
      </c>
      <c r="BG20" s="74" t="s">
        <v>51</v>
      </c>
      <c r="BH20" s="74" t="s">
        <v>52</v>
      </c>
      <c r="BI20" s="74" t="s">
        <v>53</v>
      </c>
      <c r="BJ20" s="74" t="s">
        <v>54</v>
      </c>
      <c r="BK20" s="74" t="s">
        <v>55</v>
      </c>
      <c r="BL20" s="74" t="s">
        <v>56</v>
      </c>
      <c r="BM20" s="74" t="s">
        <v>57</v>
      </c>
      <c r="BN20" s="74" t="s">
        <v>58</v>
      </c>
      <c r="BO20" s="74" t="s">
        <v>59</v>
      </c>
      <c r="BP20" s="74" t="s">
        <v>60</v>
      </c>
      <c r="BQ20" s="74" t="s">
        <v>61</v>
      </c>
      <c r="BR20" s="74" t="s">
        <v>62</v>
      </c>
      <c r="BS20" s="74" t="s">
        <v>63</v>
      </c>
      <c r="BT20" s="74" t="s">
        <v>64</v>
      </c>
      <c r="BU20" s="74" t="s">
        <v>65</v>
      </c>
      <c r="BV20" s="74" t="s">
        <v>66</v>
      </c>
      <c r="BW20" s="74" t="s">
        <v>67</v>
      </c>
      <c r="BX20" s="74" t="s">
        <v>68</v>
      </c>
      <c r="BY20" s="74" t="s">
        <v>69</v>
      </c>
      <c r="BZ20" s="74" t="s">
        <v>70</v>
      </c>
      <c r="CA20" s="74" t="s">
        <v>71</v>
      </c>
      <c r="CB20" s="74" t="s">
        <v>72</v>
      </c>
      <c r="CC20" s="74" t="s">
        <v>73</v>
      </c>
      <c r="CD20" s="74" t="s">
        <v>74</v>
      </c>
      <c r="CE20" s="74" t="s">
        <v>75</v>
      </c>
      <c r="CF20" s="74" t="s">
        <v>76</v>
      </c>
      <c r="CG20" s="74" t="s">
        <v>77</v>
      </c>
      <c r="CH20" s="74" t="s">
        <v>78</v>
      </c>
      <c r="CI20" s="74" t="s">
        <v>79</v>
      </c>
      <c r="CJ20" s="74" t="s">
        <v>80</v>
      </c>
      <c r="CK20" s="74" t="s">
        <v>210</v>
      </c>
      <c r="CL20" s="74" t="s">
        <v>211</v>
      </c>
      <c r="CM20" s="74" t="s">
        <v>212</v>
      </c>
      <c r="CN20" s="74" t="s">
        <v>213</v>
      </c>
      <c r="CO20" s="74" t="s">
        <v>214</v>
      </c>
      <c r="CP20" s="74" t="s">
        <v>216</v>
      </c>
      <c r="CQ20" s="74" t="s">
        <v>217</v>
      </c>
      <c r="CR20" s="74" t="s">
        <v>218</v>
      </c>
      <c r="CS20" s="74" t="s">
        <v>220</v>
      </c>
      <c r="CT20" s="74" t="s">
        <v>90</v>
      </c>
      <c r="CU20" s="74" t="s">
        <v>91</v>
      </c>
      <c r="CV20" s="74" t="s">
        <v>92</v>
      </c>
      <c r="CW20" s="74" t="s">
        <v>93</v>
      </c>
      <c r="CX20" s="74" t="s">
        <v>94</v>
      </c>
      <c r="CY20" s="74" t="s">
        <v>95</v>
      </c>
      <c r="CZ20" s="74" t="s">
        <v>96</v>
      </c>
      <c r="DA20" s="74" t="s">
        <v>97</v>
      </c>
      <c r="DB20" s="74" t="s">
        <v>46</v>
      </c>
      <c r="DC20" s="74" t="s">
        <v>47</v>
      </c>
      <c r="DD20" s="74" t="s">
        <v>48</v>
      </c>
      <c r="DE20" s="74" t="s">
        <v>49</v>
      </c>
      <c r="DF20" s="74" t="s">
        <v>50</v>
      </c>
      <c r="DG20" s="74" t="s">
        <v>51</v>
      </c>
      <c r="DH20" s="74" t="s">
        <v>52</v>
      </c>
      <c r="DI20" s="74" t="s">
        <v>53</v>
      </c>
      <c r="DJ20" s="74" t="s">
        <v>54</v>
      </c>
      <c r="DK20" s="74" t="s">
        <v>55</v>
      </c>
      <c r="DL20" s="74" t="s">
        <v>56</v>
      </c>
      <c r="DM20" s="74" t="s">
        <v>57</v>
      </c>
      <c r="DN20" s="74" t="s">
        <v>58</v>
      </c>
      <c r="DO20" s="74" t="s">
        <v>59</v>
      </c>
      <c r="DP20" s="74" t="s">
        <v>60</v>
      </c>
      <c r="DQ20" s="74" t="s">
        <v>61</v>
      </c>
      <c r="DR20" s="74" t="s">
        <v>62</v>
      </c>
      <c r="DS20" s="74" t="s">
        <v>63</v>
      </c>
      <c r="DT20" s="74" t="s">
        <v>64</v>
      </c>
      <c r="DU20" s="74" t="s">
        <v>65</v>
      </c>
      <c r="DV20" s="74" t="s">
        <v>66</v>
      </c>
      <c r="DW20" s="74" t="s">
        <v>67</v>
      </c>
      <c r="DX20" s="74" t="s">
        <v>68</v>
      </c>
      <c r="DY20" s="74" t="s">
        <v>69</v>
      </c>
      <c r="DZ20" s="74" t="s">
        <v>70</v>
      </c>
      <c r="EA20" s="74" t="s">
        <v>71</v>
      </c>
      <c r="EB20" s="74" t="s">
        <v>72</v>
      </c>
      <c r="EC20" s="74" t="s">
        <v>73</v>
      </c>
      <c r="ED20" s="74" t="s">
        <v>74</v>
      </c>
      <c r="EE20" s="74" t="s">
        <v>75</v>
      </c>
      <c r="EF20" s="74" t="s">
        <v>76</v>
      </c>
      <c r="EG20" s="74" t="s">
        <v>77</v>
      </c>
      <c r="EH20" s="74" t="s">
        <v>78</v>
      </c>
      <c r="EI20" s="74" t="s">
        <v>79</v>
      </c>
      <c r="EJ20" s="74" t="s">
        <v>80</v>
      </c>
      <c r="EK20" s="74" t="s">
        <v>210</v>
      </c>
      <c r="EL20" s="74" t="s">
        <v>211</v>
      </c>
      <c r="EM20" s="74" t="s">
        <v>212</v>
      </c>
      <c r="EN20" s="74" t="s">
        <v>213</v>
      </c>
      <c r="EO20" s="74" t="s">
        <v>214</v>
      </c>
      <c r="EP20" s="74" t="s">
        <v>216</v>
      </c>
      <c r="EQ20" s="74" t="s">
        <v>217</v>
      </c>
      <c r="ER20" s="74" t="s">
        <v>218</v>
      </c>
      <c r="ES20" s="74" t="s">
        <v>220</v>
      </c>
      <c r="ET20" s="74" t="s">
        <v>90</v>
      </c>
      <c r="EU20" s="74" t="s">
        <v>91</v>
      </c>
      <c r="EV20" s="74" t="s">
        <v>92</v>
      </c>
      <c r="EW20" s="74" t="s">
        <v>93</v>
      </c>
      <c r="EX20" s="74" t="s">
        <v>94</v>
      </c>
      <c r="EY20" s="74" t="s">
        <v>95</v>
      </c>
      <c r="EZ20" s="74" t="s">
        <v>96</v>
      </c>
      <c r="FA20" s="74" t="s">
        <v>97</v>
      </c>
      <c r="FB20" s="74" t="s">
        <v>46</v>
      </c>
      <c r="FC20" s="74" t="s">
        <v>47</v>
      </c>
      <c r="FD20" s="74" t="s">
        <v>48</v>
      </c>
      <c r="FE20" s="74" t="s">
        <v>49</v>
      </c>
      <c r="FF20" s="74" t="s">
        <v>50</v>
      </c>
      <c r="FG20" s="74" t="s">
        <v>51</v>
      </c>
      <c r="FH20" s="74" t="s">
        <v>52</v>
      </c>
      <c r="FI20" s="74" t="s">
        <v>53</v>
      </c>
      <c r="FJ20" s="74" t="s">
        <v>54</v>
      </c>
      <c r="FK20" s="74" t="s">
        <v>55</v>
      </c>
    </row>
    <row r="21" spans="1:167" ht="15.75" customHeight="1" x14ac:dyDescent="0.35">
      <c r="A21" s="80" t="s">
        <v>197</v>
      </c>
      <c r="B21" s="76"/>
      <c r="C21" s="76"/>
      <c r="D21" s="87"/>
      <c r="E21" s="78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>
        <v>2</v>
      </c>
      <c r="Z21" s="79">
        <v>1</v>
      </c>
      <c r="AA21" s="79">
        <v>1</v>
      </c>
      <c r="AB21" s="79"/>
      <c r="AC21" s="79"/>
      <c r="AD21" s="79"/>
      <c r="AE21" s="79">
        <v>1</v>
      </c>
      <c r="AF21" s="79">
        <v>1</v>
      </c>
      <c r="AG21" s="79"/>
      <c r="AH21" s="79">
        <v>1</v>
      </c>
      <c r="AI21" s="79">
        <v>1</v>
      </c>
      <c r="AJ21" s="79">
        <v>1</v>
      </c>
      <c r="AK21" s="79">
        <v>3</v>
      </c>
      <c r="AL21" s="79"/>
      <c r="AM21" s="79">
        <v>1</v>
      </c>
      <c r="AN21" s="79"/>
      <c r="AO21" s="79">
        <v>1</v>
      </c>
      <c r="AP21" s="79">
        <v>1</v>
      </c>
      <c r="AQ21" s="79"/>
      <c r="AR21" s="79">
        <v>3</v>
      </c>
      <c r="AS21" s="79">
        <v>1</v>
      </c>
      <c r="AT21" s="79">
        <v>2</v>
      </c>
      <c r="AU21" s="79">
        <v>2</v>
      </c>
      <c r="AV21" s="79">
        <v>6</v>
      </c>
      <c r="AW21" s="79">
        <v>2</v>
      </c>
      <c r="AX21" s="79"/>
      <c r="AY21" s="79">
        <f>VLOOKUP(A21,[4]Sheet1!$A:$B,2,FALSE)</f>
        <v>1</v>
      </c>
      <c r="AZ21" s="79">
        <f>VLOOKUP(A21,[5]Sheet1!$A:$B,2,FALSE)</f>
        <v>4</v>
      </c>
      <c r="BA21" s="79">
        <f>VLOOKUP(A21,[6]Sheet1!$A:$B,2,FALSE)</f>
        <v>1</v>
      </c>
      <c r="BB21" s="79"/>
      <c r="BC21" s="79">
        <v>2</v>
      </c>
      <c r="BD21" s="79">
        <v>1</v>
      </c>
      <c r="BE21" s="79">
        <v>2</v>
      </c>
      <c r="BF21" s="79">
        <v>1</v>
      </c>
      <c r="BG21" s="79">
        <v>1</v>
      </c>
      <c r="BH21" s="79"/>
      <c r="BI21" s="79">
        <v>1</v>
      </c>
      <c r="BJ21" s="79">
        <v>0</v>
      </c>
      <c r="BK21" s="79">
        <v>0</v>
      </c>
      <c r="BL21" s="79">
        <v>0</v>
      </c>
      <c r="BM21" s="79">
        <v>3</v>
      </c>
      <c r="BN21" s="79">
        <v>0</v>
      </c>
      <c r="BO21" s="79">
        <v>0</v>
      </c>
      <c r="BP21" s="79">
        <v>0</v>
      </c>
      <c r="BQ21" s="79">
        <v>1</v>
      </c>
      <c r="BR21" s="79">
        <v>0</v>
      </c>
      <c r="BS21" s="79">
        <v>1</v>
      </c>
      <c r="BT21" s="79">
        <v>5</v>
      </c>
      <c r="BU21" s="79">
        <v>2</v>
      </c>
      <c r="BV21" s="79">
        <v>0</v>
      </c>
      <c r="BW21" s="79">
        <v>0</v>
      </c>
      <c r="BX21" s="79">
        <v>0</v>
      </c>
      <c r="BY21" s="79">
        <v>1</v>
      </c>
      <c r="BZ21" s="79">
        <v>0</v>
      </c>
      <c r="CA21" s="79">
        <v>0</v>
      </c>
      <c r="CB21" s="79">
        <v>0</v>
      </c>
      <c r="CC21" s="79">
        <v>0</v>
      </c>
      <c r="CD21" s="79">
        <v>1</v>
      </c>
      <c r="CE21" s="79">
        <v>0</v>
      </c>
      <c r="CF21" s="79">
        <v>0</v>
      </c>
      <c r="CG21" s="79">
        <v>0</v>
      </c>
      <c r="CH21" s="79">
        <v>1</v>
      </c>
      <c r="CI21" s="79">
        <v>0</v>
      </c>
      <c r="CJ21" s="79">
        <v>0</v>
      </c>
      <c r="CK21" s="79">
        <v>0</v>
      </c>
      <c r="CL21" s="79">
        <v>0</v>
      </c>
      <c r="CM21" s="79">
        <v>0</v>
      </c>
      <c r="CN21" s="79">
        <v>0</v>
      </c>
      <c r="CO21" s="79">
        <v>0</v>
      </c>
      <c r="CP21" s="79">
        <v>0</v>
      </c>
      <c r="CQ21" s="79">
        <v>0</v>
      </c>
      <c r="CR21" s="79">
        <v>2</v>
      </c>
      <c r="CS21" s="79">
        <v>1</v>
      </c>
      <c r="CT21" s="79">
        <v>1</v>
      </c>
      <c r="CU21" s="79">
        <v>0</v>
      </c>
      <c r="CV21" s="79">
        <v>1</v>
      </c>
      <c r="CW21" s="79">
        <v>0</v>
      </c>
      <c r="CX21" s="79">
        <v>0</v>
      </c>
      <c r="CY21" s="79">
        <v>0</v>
      </c>
      <c r="CZ21" s="79">
        <v>0</v>
      </c>
      <c r="DA21" s="79">
        <v>0</v>
      </c>
      <c r="DB21" s="79">
        <v>0</v>
      </c>
      <c r="DC21" s="79">
        <v>1</v>
      </c>
      <c r="DD21" s="79">
        <v>0</v>
      </c>
      <c r="DE21" s="79">
        <v>1</v>
      </c>
      <c r="DF21" s="79">
        <v>0</v>
      </c>
      <c r="DG21" s="79">
        <v>1</v>
      </c>
      <c r="DH21" s="79">
        <v>2</v>
      </c>
      <c r="DI21" s="79">
        <v>1</v>
      </c>
      <c r="DJ21" s="79">
        <v>0</v>
      </c>
      <c r="DK21" s="79">
        <v>0</v>
      </c>
      <c r="DL21" s="79">
        <v>1</v>
      </c>
      <c r="DM21" s="79">
        <v>0</v>
      </c>
      <c r="DN21" s="79">
        <v>3</v>
      </c>
      <c r="DO21" s="79">
        <v>3</v>
      </c>
      <c r="DP21" s="79">
        <v>1</v>
      </c>
      <c r="DQ21" s="79">
        <v>0</v>
      </c>
      <c r="DR21" s="79">
        <v>0</v>
      </c>
      <c r="DS21" s="79">
        <v>1</v>
      </c>
      <c r="DT21" s="79">
        <v>0</v>
      </c>
      <c r="DU21" s="79">
        <v>0</v>
      </c>
      <c r="DV21" s="79">
        <v>0</v>
      </c>
      <c r="DW21" s="79">
        <v>0</v>
      </c>
      <c r="DX21" s="79">
        <v>1</v>
      </c>
      <c r="DY21" s="79">
        <v>2</v>
      </c>
      <c r="DZ21" s="79">
        <v>0</v>
      </c>
      <c r="EA21" s="79">
        <v>0</v>
      </c>
      <c r="EB21" s="79">
        <v>0</v>
      </c>
      <c r="EC21" s="79">
        <v>2</v>
      </c>
      <c r="ED21" s="79">
        <v>1</v>
      </c>
      <c r="EE21" s="79">
        <v>0</v>
      </c>
      <c r="EF21" s="79">
        <v>0</v>
      </c>
      <c r="EG21" s="79">
        <v>0</v>
      </c>
      <c r="EH21" s="79">
        <v>0</v>
      </c>
      <c r="EI21" s="79">
        <v>0</v>
      </c>
      <c r="EJ21" s="79">
        <v>0</v>
      </c>
      <c r="EK21" s="79">
        <v>0</v>
      </c>
      <c r="EL21" s="79">
        <v>2</v>
      </c>
      <c r="EM21" s="79">
        <v>3</v>
      </c>
      <c r="EN21" s="79">
        <v>0</v>
      </c>
      <c r="EO21" s="79">
        <v>0</v>
      </c>
      <c r="EP21" s="79">
        <v>0</v>
      </c>
      <c r="EQ21" s="79">
        <v>0</v>
      </c>
      <c r="ER21" s="79">
        <v>3</v>
      </c>
      <c r="ES21" s="79">
        <v>0</v>
      </c>
      <c r="ET21" s="79">
        <v>0</v>
      </c>
      <c r="EU21" s="79">
        <v>0</v>
      </c>
      <c r="EV21" s="79">
        <v>2</v>
      </c>
      <c r="EW21" s="79">
        <v>0</v>
      </c>
      <c r="EX21" s="79">
        <v>0</v>
      </c>
      <c r="EY21" s="79">
        <v>0</v>
      </c>
      <c r="EZ21" s="79">
        <v>0</v>
      </c>
      <c r="FA21" s="79">
        <v>0</v>
      </c>
      <c r="FB21" s="79">
        <v>0</v>
      </c>
      <c r="FC21" s="79">
        <v>0</v>
      </c>
      <c r="FD21" s="79">
        <v>0</v>
      </c>
      <c r="FE21" s="79">
        <v>0</v>
      </c>
      <c r="FF21" s="79">
        <v>0</v>
      </c>
      <c r="FG21" s="79">
        <v>0</v>
      </c>
      <c r="FH21" s="79">
        <v>0</v>
      </c>
      <c r="FI21" s="79">
        <v>0</v>
      </c>
      <c r="FJ21" s="79">
        <v>0</v>
      </c>
      <c r="FK21" s="79">
        <v>0</v>
      </c>
    </row>
    <row r="22" spans="1:167" ht="15.75" customHeight="1" x14ac:dyDescent="0.35">
      <c r="A22" s="88" t="s">
        <v>100</v>
      </c>
      <c r="B22" s="76"/>
      <c r="C22" s="76"/>
      <c r="D22" s="87"/>
      <c r="E22" s="78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>
        <v>6</v>
      </c>
      <c r="AL22" s="79">
        <v>1</v>
      </c>
      <c r="AM22" s="79"/>
      <c r="AN22" s="79">
        <v>2</v>
      </c>
      <c r="AO22" s="79">
        <v>2</v>
      </c>
      <c r="AP22" s="79">
        <v>4</v>
      </c>
      <c r="AQ22" s="79">
        <v>3</v>
      </c>
      <c r="AR22" s="79">
        <v>4</v>
      </c>
      <c r="AS22" s="79">
        <v>3</v>
      </c>
      <c r="AT22" s="79">
        <v>6</v>
      </c>
      <c r="AU22" s="79">
        <v>3</v>
      </c>
      <c r="AV22" s="79">
        <v>4</v>
      </c>
      <c r="AW22" s="79">
        <v>5</v>
      </c>
      <c r="AX22" s="79"/>
      <c r="AY22" s="79">
        <f>VLOOKUP(A22,[4]Sheet1!$A:$B,2,FALSE)</f>
        <v>6</v>
      </c>
      <c r="AZ22" s="79">
        <f>VLOOKUP(A22,[5]Sheet1!$A:$B,2,FALSE)</f>
        <v>5</v>
      </c>
      <c r="BA22" s="79">
        <f>VLOOKUP(A22,[6]Sheet1!$A:$B,2,FALSE)</f>
        <v>3</v>
      </c>
      <c r="BB22" s="79"/>
      <c r="BC22" s="79">
        <v>7</v>
      </c>
      <c r="BD22" s="79">
        <v>7</v>
      </c>
      <c r="BE22" s="79">
        <v>3</v>
      </c>
      <c r="BF22" s="79">
        <v>2</v>
      </c>
      <c r="BG22" s="79">
        <v>10</v>
      </c>
      <c r="BH22" s="79">
        <v>5</v>
      </c>
      <c r="BI22" s="79">
        <v>5</v>
      </c>
      <c r="BJ22" s="79">
        <v>3</v>
      </c>
      <c r="BK22" s="79">
        <v>3</v>
      </c>
      <c r="BL22" s="79">
        <v>5</v>
      </c>
      <c r="BM22" s="79">
        <v>9</v>
      </c>
      <c r="BN22" s="79">
        <v>3</v>
      </c>
      <c r="BO22" s="79">
        <v>3</v>
      </c>
      <c r="BP22" s="79">
        <v>4</v>
      </c>
      <c r="BQ22" s="79">
        <v>5</v>
      </c>
      <c r="BR22" s="79">
        <v>6</v>
      </c>
      <c r="BS22" s="79">
        <v>4</v>
      </c>
      <c r="BT22" s="79">
        <v>3</v>
      </c>
      <c r="BU22" s="79">
        <v>4</v>
      </c>
      <c r="BV22" s="79">
        <v>5</v>
      </c>
      <c r="BW22" s="79">
        <v>1</v>
      </c>
      <c r="BX22" s="79">
        <v>1</v>
      </c>
      <c r="BY22" s="79">
        <v>4</v>
      </c>
      <c r="BZ22" s="79">
        <v>4</v>
      </c>
      <c r="CA22" s="79">
        <v>4</v>
      </c>
      <c r="CB22" s="79">
        <v>1</v>
      </c>
      <c r="CC22" s="79">
        <v>4</v>
      </c>
      <c r="CD22" s="79">
        <v>3</v>
      </c>
      <c r="CE22" s="79">
        <v>3</v>
      </c>
      <c r="CF22" s="79">
        <v>1</v>
      </c>
      <c r="CG22" s="79">
        <v>0</v>
      </c>
      <c r="CH22" s="79">
        <v>2</v>
      </c>
      <c r="CI22" s="79">
        <v>0</v>
      </c>
      <c r="CJ22" s="79">
        <v>0</v>
      </c>
      <c r="CK22" s="79">
        <v>1</v>
      </c>
      <c r="CL22" s="79">
        <v>3</v>
      </c>
      <c r="CM22" s="79">
        <v>1</v>
      </c>
      <c r="CN22" s="79">
        <v>0</v>
      </c>
      <c r="CO22" s="79">
        <v>4</v>
      </c>
      <c r="CP22" s="79">
        <v>1</v>
      </c>
      <c r="CQ22" s="79">
        <v>2</v>
      </c>
      <c r="CR22" s="79">
        <v>5</v>
      </c>
      <c r="CS22" s="79">
        <v>5</v>
      </c>
      <c r="CT22" s="79">
        <v>2</v>
      </c>
      <c r="CU22" s="79">
        <v>1</v>
      </c>
      <c r="CV22" s="79">
        <v>5</v>
      </c>
      <c r="CW22" s="79">
        <v>2</v>
      </c>
      <c r="CX22" s="79">
        <v>1</v>
      </c>
      <c r="CY22" s="79">
        <v>3</v>
      </c>
      <c r="CZ22" s="79">
        <v>4</v>
      </c>
      <c r="DA22" s="79">
        <v>3</v>
      </c>
      <c r="DB22" s="79">
        <v>0</v>
      </c>
      <c r="DC22" s="79">
        <v>3</v>
      </c>
      <c r="DD22" s="79">
        <v>2</v>
      </c>
      <c r="DE22" s="79">
        <v>5</v>
      </c>
      <c r="DF22" s="79">
        <v>5</v>
      </c>
      <c r="DG22" s="79">
        <v>4</v>
      </c>
      <c r="DH22" s="79">
        <v>6</v>
      </c>
      <c r="DI22" s="79">
        <v>5</v>
      </c>
      <c r="DJ22" s="79">
        <v>2</v>
      </c>
      <c r="DK22" s="79">
        <v>2</v>
      </c>
      <c r="DL22" s="79">
        <v>3</v>
      </c>
      <c r="DM22" s="79">
        <v>4</v>
      </c>
      <c r="DN22" s="79">
        <v>0</v>
      </c>
      <c r="DO22" s="79">
        <v>5</v>
      </c>
      <c r="DP22" s="79">
        <v>1</v>
      </c>
      <c r="DQ22" s="79">
        <v>6</v>
      </c>
      <c r="DR22" s="79">
        <v>2</v>
      </c>
      <c r="DS22" s="79">
        <v>1</v>
      </c>
      <c r="DT22" s="79">
        <v>3</v>
      </c>
      <c r="DU22" s="79">
        <v>6</v>
      </c>
      <c r="DV22" s="79">
        <v>3</v>
      </c>
      <c r="DW22" s="79">
        <v>0</v>
      </c>
      <c r="DX22" s="79">
        <v>1</v>
      </c>
      <c r="DY22" s="79">
        <v>5</v>
      </c>
      <c r="DZ22" s="79">
        <v>7</v>
      </c>
      <c r="EA22" s="79">
        <v>5</v>
      </c>
      <c r="EB22" s="79">
        <v>5</v>
      </c>
      <c r="EC22" s="79">
        <v>4</v>
      </c>
      <c r="ED22" s="79">
        <v>4</v>
      </c>
      <c r="EE22" s="79">
        <v>0</v>
      </c>
      <c r="EF22" s="79">
        <v>1</v>
      </c>
      <c r="EG22" s="79">
        <v>2</v>
      </c>
      <c r="EH22" s="79">
        <v>7</v>
      </c>
      <c r="EI22" s="79">
        <v>1</v>
      </c>
      <c r="EJ22" s="79">
        <v>1</v>
      </c>
      <c r="EK22" s="79">
        <v>0</v>
      </c>
      <c r="EL22" s="79">
        <v>1</v>
      </c>
      <c r="EM22" s="79">
        <v>3</v>
      </c>
      <c r="EN22" s="79">
        <v>4</v>
      </c>
      <c r="EO22" s="79">
        <v>0</v>
      </c>
      <c r="EP22" s="79">
        <v>1</v>
      </c>
      <c r="EQ22" s="79">
        <v>8</v>
      </c>
      <c r="ER22" s="79">
        <v>7</v>
      </c>
      <c r="ES22" s="79">
        <v>3</v>
      </c>
      <c r="ET22" s="79">
        <v>8</v>
      </c>
      <c r="EU22" s="79">
        <v>8</v>
      </c>
      <c r="EV22" s="79">
        <v>6</v>
      </c>
      <c r="EW22" s="79">
        <v>3</v>
      </c>
      <c r="EX22" s="79">
        <v>2</v>
      </c>
      <c r="EY22" s="79">
        <v>2</v>
      </c>
      <c r="EZ22" s="79">
        <v>9</v>
      </c>
      <c r="FA22" s="79">
        <v>9</v>
      </c>
      <c r="FB22" s="79">
        <v>3</v>
      </c>
      <c r="FC22" s="79">
        <v>4</v>
      </c>
      <c r="FD22" s="79">
        <v>2</v>
      </c>
      <c r="FE22" s="79">
        <v>7</v>
      </c>
      <c r="FF22" s="79">
        <v>2</v>
      </c>
      <c r="FG22" s="79">
        <v>3</v>
      </c>
      <c r="FH22" s="79">
        <v>7</v>
      </c>
      <c r="FI22" s="79">
        <v>5</v>
      </c>
      <c r="FJ22" s="79">
        <v>3</v>
      </c>
      <c r="FK22" s="79">
        <v>6</v>
      </c>
    </row>
    <row r="23" spans="1:167" ht="15.75" customHeight="1" x14ac:dyDescent="0.35">
      <c r="A23" s="88" t="s">
        <v>199</v>
      </c>
      <c r="B23" s="76"/>
      <c r="C23" s="76"/>
      <c r="D23" s="87"/>
      <c r="E23" s="78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>
        <v>4</v>
      </c>
      <c r="AO23" s="79">
        <v>5</v>
      </c>
      <c r="AP23" s="79">
        <v>4</v>
      </c>
      <c r="AQ23" s="79">
        <v>3</v>
      </c>
      <c r="AR23" s="79">
        <v>3</v>
      </c>
      <c r="AS23" s="79">
        <v>9</v>
      </c>
      <c r="AT23" s="79">
        <v>7</v>
      </c>
      <c r="AU23" s="79">
        <v>1</v>
      </c>
      <c r="AV23" s="79">
        <v>12</v>
      </c>
      <c r="AW23" s="79">
        <v>6</v>
      </c>
      <c r="AX23" s="79"/>
      <c r="AY23" s="79">
        <f>VLOOKUP(A23,[4]Sheet1!$A:$B,2,FALSE)</f>
        <v>3</v>
      </c>
      <c r="AZ23" s="79">
        <f>VLOOKUP(A23,[5]Sheet1!$A:$B,2,FALSE)</f>
        <v>2</v>
      </c>
      <c r="BA23" s="79">
        <f>VLOOKUP(A23,[6]Sheet1!$A:$B,2,FALSE)</f>
        <v>3</v>
      </c>
      <c r="BB23" s="79">
        <v>2</v>
      </c>
      <c r="BC23" s="79">
        <v>7</v>
      </c>
      <c r="BD23" s="79">
        <v>3</v>
      </c>
      <c r="BE23" s="79">
        <v>1</v>
      </c>
      <c r="BF23" s="79">
        <v>6</v>
      </c>
      <c r="BG23" s="79">
        <v>2</v>
      </c>
      <c r="BH23" s="79">
        <v>5</v>
      </c>
      <c r="BI23" s="79">
        <v>4</v>
      </c>
      <c r="BJ23" s="79">
        <v>1</v>
      </c>
      <c r="BK23" s="79">
        <v>4</v>
      </c>
      <c r="BL23" s="79">
        <v>2</v>
      </c>
      <c r="BM23" s="79">
        <v>0</v>
      </c>
      <c r="BN23" s="79">
        <v>2</v>
      </c>
      <c r="BO23" s="79">
        <v>1</v>
      </c>
      <c r="BP23" s="79">
        <v>6</v>
      </c>
      <c r="BQ23" s="79">
        <v>1</v>
      </c>
      <c r="BR23" s="79">
        <v>2</v>
      </c>
      <c r="BS23" s="79">
        <v>4</v>
      </c>
      <c r="BT23" s="79">
        <v>7</v>
      </c>
      <c r="BU23" s="79">
        <v>6</v>
      </c>
      <c r="BV23" s="79">
        <v>8</v>
      </c>
      <c r="BW23" s="79">
        <v>11</v>
      </c>
      <c r="BX23" s="79">
        <v>2</v>
      </c>
      <c r="BY23" s="79">
        <v>7</v>
      </c>
      <c r="BZ23" s="79">
        <v>3</v>
      </c>
      <c r="CA23" s="79">
        <v>3</v>
      </c>
      <c r="CB23" s="79">
        <v>1</v>
      </c>
      <c r="CC23" s="79">
        <v>4</v>
      </c>
      <c r="CD23" s="79">
        <v>5</v>
      </c>
      <c r="CE23" s="79">
        <v>2</v>
      </c>
      <c r="CF23" s="79">
        <v>0</v>
      </c>
      <c r="CG23" s="79">
        <v>1</v>
      </c>
      <c r="CH23" s="79">
        <v>3</v>
      </c>
      <c r="CI23" s="79">
        <v>1</v>
      </c>
      <c r="CJ23" s="79">
        <v>1</v>
      </c>
      <c r="CK23" s="79">
        <v>2</v>
      </c>
      <c r="CL23" s="79">
        <v>4</v>
      </c>
      <c r="CM23" s="79">
        <v>1</v>
      </c>
      <c r="CN23" s="79">
        <v>2</v>
      </c>
      <c r="CO23" s="79">
        <v>1</v>
      </c>
      <c r="CP23" s="79">
        <v>6</v>
      </c>
      <c r="CQ23" s="79">
        <v>2</v>
      </c>
      <c r="CR23" s="79">
        <v>3</v>
      </c>
      <c r="CS23" s="79">
        <v>1</v>
      </c>
      <c r="CT23" s="79">
        <v>2</v>
      </c>
      <c r="CU23" s="79">
        <v>3</v>
      </c>
      <c r="CV23" s="79">
        <v>4</v>
      </c>
      <c r="CW23" s="79">
        <v>0</v>
      </c>
      <c r="CX23" s="79">
        <v>0</v>
      </c>
      <c r="CY23" s="79">
        <v>5</v>
      </c>
      <c r="CZ23" s="79">
        <v>1</v>
      </c>
      <c r="DA23" s="79">
        <v>2</v>
      </c>
      <c r="DB23" s="79">
        <v>2</v>
      </c>
      <c r="DC23" s="79">
        <v>4</v>
      </c>
      <c r="DD23" s="79">
        <v>4</v>
      </c>
      <c r="DE23" s="79">
        <v>2</v>
      </c>
      <c r="DF23" s="79">
        <v>9</v>
      </c>
      <c r="DG23" s="79">
        <v>4</v>
      </c>
      <c r="DH23" s="79">
        <v>6</v>
      </c>
      <c r="DI23" s="79">
        <v>6</v>
      </c>
      <c r="DJ23" s="79">
        <v>6</v>
      </c>
      <c r="DK23" s="79">
        <v>6</v>
      </c>
      <c r="DL23" s="79">
        <v>8</v>
      </c>
      <c r="DM23" s="79">
        <v>10</v>
      </c>
      <c r="DN23" s="79">
        <v>10</v>
      </c>
      <c r="DO23" s="79">
        <v>7</v>
      </c>
      <c r="DP23" s="79">
        <v>9</v>
      </c>
      <c r="DQ23" s="79">
        <v>17</v>
      </c>
      <c r="DR23" s="79">
        <v>10</v>
      </c>
      <c r="DS23" s="79">
        <v>12</v>
      </c>
      <c r="DT23" s="79">
        <v>11</v>
      </c>
      <c r="DU23" s="79">
        <v>9</v>
      </c>
      <c r="DV23" s="79">
        <v>13</v>
      </c>
      <c r="DW23" s="79">
        <v>9</v>
      </c>
      <c r="DX23" s="79">
        <v>13</v>
      </c>
      <c r="DY23" s="79">
        <v>13</v>
      </c>
      <c r="DZ23" s="79">
        <v>16</v>
      </c>
      <c r="EA23" s="79">
        <v>20</v>
      </c>
      <c r="EB23" s="79">
        <v>5</v>
      </c>
      <c r="EC23" s="79">
        <v>10</v>
      </c>
      <c r="ED23" s="79">
        <v>23</v>
      </c>
      <c r="EE23" s="79">
        <v>17</v>
      </c>
      <c r="EF23" s="79">
        <v>16</v>
      </c>
      <c r="EG23" s="79">
        <v>13</v>
      </c>
      <c r="EH23" s="79">
        <v>15</v>
      </c>
      <c r="EI23" s="79">
        <v>16</v>
      </c>
      <c r="EJ23" s="79">
        <v>3</v>
      </c>
      <c r="EK23" s="79">
        <v>3</v>
      </c>
      <c r="EL23" s="79">
        <v>4</v>
      </c>
      <c r="EM23" s="79">
        <v>5</v>
      </c>
      <c r="EN23" s="79">
        <v>22</v>
      </c>
      <c r="EO23" s="79">
        <v>12</v>
      </c>
      <c r="EP23" s="79">
        <v>22</v>
      </c>
      <c r="EQ23" s="79">
        <v>9</v>
      </c>
      <c r="ER23" s="79">
        <v>25</v>
      </c>
      <c r="ES23" s="79">
        <v>11</v>
      </c>
      <c r="ET23" s="79">
        <v>27</v>
      </c>
      <c r="EU23" s="79">
        <v>9</v>
      </c>
      <c r="EV23" s="79">
        <v>6</v>
      </c>
      <c r="EW23" s="79">
        <v>4</v>
      </c>
      <c r="EX23" s="79">
        <v>12</v>
      </c>
      <c r="EY23" s="79">
        <v>3</v>
      </c>
      <c r="EZ23" s="79">
        <v>8</v>
      </c>
      <c r="FA23" s="79">
        <v>16</v>
      </c>
      <c r="FB23" s="79">
        <v>10</v>
      </c>
      <c r="FC23" s="79">
        <v>16</v>
      </c>
      <c r="FD23" s="79">
        <v>17</v>
      </c>
      <c r="FE23" s="79">
        <v>16</v>
      </c>
      <c r="FF23" s="79">
        <v>13</v>
      </c>
      <c r="FG23" s="79">
        <v>10</v>
      </c>
      <c r="FH23" s="79">
        <v>36</v>
      </c>
      <c r="FI23" s="79">
        <v>30</v>
      </c>
      <c r="FJ23" s="79">
        <v>35</v>
      </c>
      <c r="FK23" s="79">
        <v>21</v>
      </c>
    </row>
    <row r="24" spans="1:167" ht="15.75" customHeight="1" x14ac:dyDescent="0.35">
      <c r="A24" s="88" t="s">
        <v>99</v>
      </c>
      <c r="B24" s="79"/>
      <c r="C24" s="79"/>
      <c r="D24" s="79">
        <v>3</v>
      </c>
      <c r="E24" s="79">
        <v>2</v>
      </c>
      <c r="F24" s="79">
        <v>1</v>
      </c>
      <c r="G24" s="79">
        <v>1</v>
      </c>
      <c r="H24" s="79">
        <v>2</v>
      </c>
      <c r="I24" s="79">
        <v>1</v>
      </c>
      <c r="J24" s="79">
        <v>2</v>
      </c>
      <c r="K24" s="79">
        <v>1</v>
      </c>
      <c r="L24" s="79"/>
      <c r="M24" s="79"/>
      <c r="N24" s="79"/>
      <c r="O24" s="79">
        <v>1</v>
      </c>
      <c r="P24" s="79"/>
      <c r="Q24" s="79">
        <v>1</v>
      </c>
      <c r="R24" s="79">
        <v>1</v>
      </c>
      <c r="S24" s="79"/>
      <c r="T24" s="79"/>
      <c r="U24" s="79">
        <v>1</v>
      </c>
      <c r="V24" s="79">
        <v>2</v>
      </c>
      <c r="W24" s="79"/>
      <c r="X24" s="79"/>
      <c r="Y24" s="79">
        <v>2</v>
      </c>
      <c r="Z24" s="79">
        <v>1</v>
      </c>
      <c r="AA24" s="79">
        <v>1</v>
      </c>
      <c r="AB24" s="79">
        <v>3</v>
      </c>
      <c r="AC24" s="79">
        <v>4</v>
      </c>
      <c r="AD24" s="79"/>
      <c r="AE24" s="79">
        <v>5</v>
      </c>
      <c r="AF24" s="79"/>
      <c r="AG24" s="79">
        <v>4</v>
      </c>
      <c r="AH24" s="79">
        <v>1</v>
      </c>
      <c r="AI24" s="79"/>
      <c r="AJ24" s="79">
        <v>1</v>
      </c>
      <c r="AK24" s="79">
        <v>2</v>
      </c>
      <c r="AL24" s="79">
        <v>1</v>
      </c>
      <c r="AM24" s="79"/>
      <c r="AN24" s="79"/>
      <c r="AO24" s="79"/>
      <c r="AP24" s="79">
        <v>3</v>
      </c>
      <c r="AQ24" s="79">
        <v>1</v>
      </c>
      <c r="AR24" s="79">
        <v>1</v>
      </c>
      <c r="AS24" s="79">
        <v>1</v>
      </c>
      <c r="AT24" s="79"/>
      <c r="AU24" s="79">
        <v>1</v>
      </c>
      <c r="AV24" s="79">
        <v>1</v>
      </c>
      <c r="AW24" s="79">
        <v>1</v>
      </c>
      <c r="AX24" s="79"/>
      <c r="AY24" s="79">
        <v>1</v>
      </c>
      <c r="AZ24" s="79">
        <v>2</v>
      </c>
      <c r="BA24" s="79">
        <v>1</v>
      </c>
      <c r="BB24" s="79"/>
      <c r="BC24" s="79"/>
      <c r="BD24" s="79">
        <v>1</v>
      </c>
      <c r="BE24" s="79">
        <v>2</v>
      </c>
      <c r="BF24" s="79">
        <v>1</v>
      </c>
      <c r="BG24" s="79">
        <v>1</v>
      </c>
      <c r="BH24" s="79">
        <v>1</v>
      </c>
      <c r="BI24" s="79"/>
      <c r="BJ24" s="79">
        <v>2</v>
      </c>
      <c r="BK24" s="79">
        <v>0</v>
      </c>
      <c r="BL24" s="79">
        <v>0</v>
      </c>
      <c r="BM24" s="79">
        <v>1</v>
      </c>
      <c r="BN24" s="79">
        <v>1</v>
      </c>
      <c r="BO24" s="79">
        <v>0</v>
      </c>
      <c r="BP24" s="79">
        <v>0</v>
      </c>
      <c r="BQ24" s="79">
        <v>4</v>
      </c>
      <c r="BR24" s="79">
        <v>1</v>
      </c>
      <c r="BS24" s="79">
        <v>1</v>
      </c>
      <c r="BT24" s="79">
        <v>1</v>
      </c>
      <c r="BU24" s="79">
        <v>1</v>
      </c>
      <c r="BV24" s="79">
        <v>0</v>
      </c>
      <c r="BW24" s="79">
        <v>0</v>
      </c>
      <c r="BX24" s="79">
        <v>0</v>
      </c>
      <c r="BY24" s="79">
        <v>1</v>
      </c>
      <c r="BZ24" s="79">
        <v>1</v>
      </c>
      <c r="CA24" s="79">
        <v>2</v>
      </c>
      <c r="CB24" s="79">
        <v>1</v>
      </c>
      <c r="CC24" s="79">
        <v>0</v>
      </c>
      <c r="CD24" s="79">
        <v>0</v>
      </c>
      <c r="CE24" s="79">
        <v>0</v>
      </c>
      <c r="CF24" s="79">
        <v>2</v>
      </c>
      <c r="CG24" s="79">
        <v>0</v>
      </c>
      <c r="CH24" s="79">
        <v>1</v>
      </c>
      <c r="CI24" s="79">
        <v>0</v>
      </c>
      <c r="CJ24" s="79">
        <v>0</v>
      </c>
      <c r="CK24" s="79">
        <v>0</v>
      </c>
      <c r="CL24" s="79">
        <v>0</v>
      </c>
      <c r="CM24" s="79">
        <v>0</v>
      </c>
      <c r="CN24" s="79">
        <v>0</v>
      </c>
      <c r="CO24" s="79">
        <v>0</v>
      </c>
      <c r="CP24" s="79">
        <v>0</v>
      </c>
      <c r="CQ24" s="79">
        <v>4</v>
      </c>
      <c r="CR24" s="79">
        <v>2</v>
      </c>
      <c r="CS24" s="79">
        <v>3</v>
      </c>
      <c r="CT24" s="79">
        <v>0</v>
      </c>
      <c r="CU24" s="79">
        <v>1</v>
      </c>
      <c r="CV24" s="79">
        <v>0</v>
      </c>
      <c r="CW24" s="79">
        <v>0</v>
      </c>
      <c r="CX24" s="79">
        <v>0</v>
      </c>
      <c r="CY24" s="79">
        <v>1</v>
      </c>
      <c r="CZ24" s="79">
        <v>0</v>
      </c>
      <c r="DA24" s="79">
        <v>0</v>
      </c>
      <c r="DB24" s="79">
        <v>1</v>
      </c>
      <c r="DC24" s="79">
        <v>1</v>
      </c>
      <c r="DD24" s="79">
        <v>3</v>
      </c>
      <c r="DE24" s="79">
        <v>1</v>
      </c>
      <c r="DF24" s="79">
        <v>0</v>
      </c>
      <c r="DG24" s="79">
        <v>0</v>
      </c>
      <c r="DH24" s="79">
        <v>2</v>
      </c>
      <c r="DI24" s="79">
        <v>1</v>
      </c>
      <c r="DJ24" s="79">
        <v>2</v>
      </c>
      <c r="DK24" s="79">
        <v>2</v>
      </c>
      <c r="DL24" s="79">
        <v>2</v>
      </c>
      <c r="DM24" s="79">
        <v>0</v>
      </c>
      <c r="DN24" s="79">
        <v>5</v>
      </c>
      <c r="DO24" s="79">
        <v>1</v>
      </c>
      <c r="DP24" s="79">
        <v>3</v>
      </c>
      <c r="DQ24" s="79">
        <v>1</v>
      </c>
      <c r="DR24" s="79">
        <v>1</v>
      </c>
      <c r="DS24" s="79">
        <v>1</v>
      </c>
      <c r="DT24" s="79">
        <v>0</v>
      </c>
      <c r="DU24" s="79">
        <v>3</v>
      </c>
      <c r="DV24" s="79">
        <v>1</v>
      </c>
      <c r="DW24" s="79">
        <v>1</v>
      </c>
      <c r="DX24" s="79">
        <v>0</v>
      </c>
      <c r="DY24" s="79">
        <v>0</v>
      </c>
      <c r="DZ24" s="79">
        <v>1</v>
      </c>
      <c r="EA24" s="79">
        <v>1</v>
      </c>
      <c r="EB24" s="79">
        <v>1</v>
      </c>
      <c r="EC24" s="79">
        <v>3</v>
      </c>
      <c r="ED24" s="79">
        <v>2</v>
      </c>
      <c r="EE24" s="79">
        <v>1</v>
      </c>
      <c r="EF24" s="79">
        <v>0</v>
      </c>
      <c r="EG24" s="79">
        <v>0</v>
      </c>
      <c r="EH24" s="79">
        <v>1</v>
      </c>
      <c r="EI24" s="79">
        <v>2</v>
      </c>
      <c r="EJ24" s="79">
        <v>0</v>
      </c>
      <c r="EK24" s="79">
        <v>0</v>
      </c>
      <c r="EL24" s="79">
        <v>0</v>
      </c>
      <c r="EM24" s="79">
        <v>1</v>
      </c>
      <c r="EN24" s="79">
        <v>1</v>
      </c>
      <c r="EO24" s="79">
        <v>2</v>
      </c>
      <c r="EP24" s="79">
        <v>0</v>
      </c>
      <c r="EQ24" s="79">
        <v>2</v>
      </c>
      <c r="ER24" s="79">
        <v>5</v>
      </c>
      <c r="ES24" s="79">
        <v>1</v>
      </c>
      <c r="ET24" s="79">
        <v>0</v>
      </c>
      <c r="EU24" s="79">
        <v>0</v>
      </c>
      <c r="EV24" s="79">
        <v>0</v>
      </c>
      <c r="EW24" s="79">
        <v>0</v>
      </c>
      <c r="EX24" s="79">
        <v>0</v>
      </c>
      <c r="EY24" s="79">
        <v>3</v>
      </c>
      <c r="EZ24" s="79">
        <v>2</v>
      </c>
      <c r="FA24" s="79">
        <v>0</v>
      </c>
      <c r="FB24" s="79">
        <v>3</v>
      </c>
      <c r="FC24" s="79">
        <v>2</v>
      </c>
      <c r="FD24" s="79">
        <v>1</v>
      </c>
      <c r="FE24" s="79">
        <v>1</v>
      </c>
      <c r="FF24" s="79">
        <v>1</v>
      </c>
      <c r="FG24" s="79">
        <v>2</v>
      </c>
      <c r="FH24" s="79">
        <v>0</v>
      </c>
      <c r="FI24" s="79">
        <v>6</v>
      </c>
      <c r="FJ24" s="79">
        <v>3</v>
      </c>
      <c r="FK24" s="79">
        <v>0</v>
      </c>
    </row>
    <row r="25" spans="1:167" ht="15.75" customHeight="1" x14ac:dyDescent="0.35">
      <c r="A25" s="88" t="s">
        <v>204</v>
      </c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>
        <v>1</v>
      </c>
      <c r="BD25" s="79"/>
      <c r="BE25" s="79">
        <v>2</v>
      </c>
      <c r="BF25" s="79">
        <v>1</v>
      </c>
      <c r="BG25" s="79">
        <v>1</v>
      </c>
      <c r="BH25" s="79"/>
      <c r="BI25" s="79">
        <v>1</v>
      </c>
      <c r="BJ25" s="79">
        <v>0</v>
      </c>
      <c r="BK25" s="79">
        <v>1</v>
      </c>
      <c r="BL25" s="79">
        <v>0</v>
      </c>
      <c r="BM25" s="79">
        <v>1</v>
      </c>
      <c r="BN25" s="79">
        <v>0</v>
      </c>
      <c r="BO25" s="79">
        <v>0</v>
      </c>
      <c r="BP25" s="79">
        <v>0</v>
      </c>
      <c r="BQ25" s="79">
        <v>0</v>
      </c>
      <c r="BR25" s="79">
        <v>1</v>
      </c>
      <c r="BS25" s="79">
        <v>0</v>
      </c>
      <c r="BT25" s="79">
        <v>0</v>
      </c>
      <c r="BU25" s="79">
        <v>0</v>
      </c>
      <c r="BV25" s="79">
        <v>1</v>
      </c>
      <c r="BW25" s="79">
        <v>0</v>
      </c>
      <c r="BX25" s="79">
        <v>0</v>
      </c>
      <c r="BY25" s="79">
        <v>0</v>
      </c>
      <c r="BZ25" s="79">
        <v>0</v>
      </c>
      <c r="CA25" s="79">
        <v>0</v>
      </c>
      <c r="CB25" s="79">
        <v>0</v>
      </c>
      <c r="CC25" s="79">
        <v>0</v>
      </c>
      <c r="CD25" s="79">
        <v>0</v>
      </c>
      <c r="CE25" s="79">
        <v>0</v>
      </c>
      <c r="CF25" s="79">
        <v>0</v>
      </c>
      <c r="CG25" s="79">
        <v>0</v>
      </c>
      <c r="CH25" s="79">
        <v>1</v>
      </c>
      <c r="CI25" s="79">
        <v>0</v>
      </c>
      <c r="CJ25" s="79">
        <v>0</v>
      </c>
      <c r="CK25" s="79">
        <v>0</v>
      </c>
      <c r="CL25" s="79">
        <v>0</v>
      </c>
      <c r="CM25" s="79">
        <v>0</v>
      </c>
      <c r="CN25" s="79">
        <v>0</v>
      </c>
      <c r="CO25" s="79">
        <v>0</v>
      </c>
      <c r="CP25" s="79">
        <v>0</v>
      </c>
      <c r="CQ25" s="79">
        <v>1</v>
      </c>
      <c r="CR25" s="79">
        <v>1</v>
      </c>
      <c r="CS25" s="79">
        <v>0</v>
      </c>
      <c r="CT25" s="79">
        <v>0</v>
      </c>
      <c r="CU25" s="79">
        <v>0</v>
      </c>
      <c r="CV25" s="79">
        <v>1</v>
      </c>
      <c r="CW25" s="79">
        <v>0</v>
      </c>
      <c r="CX25" s="79">
        <v>0</v>
      </c>
      <c r="CY25" s="79">
        <v>0</v>
      </c>
      <c r="CZ25" s="79">
        <v>1</v>
      </c>
      <c r="DA25" s="79">
        <v>1</v>
      </c>
      <c r="DB25" s="79">
        <v>0</v>
      </c>
      <c r="DC25" s="79">
        <v>0</v>
      </c>
      <c r="DD25" s="79">
        <v>1</v>
      </c>
      <c r="DE25" s="79">
        <v>0</v>
      </c>
      <c r="DF25" s="79">
        <v>0</v>
      </c>
      <c r="DG25" s="79">
        <v>0</v>
      </c>
      <c r="DH25" s="79">
        <v>0</v>
      </c>
      <c r="DI25" s="79">
        <v>0</v>
      </c>
      <c r="DJ25" s="79">
        <v>1</v>
      </c>
      <c r="DK25" s="79">
        <v>0</v>
      </c>
      <c r="DL25" s="79">
        <v>0</v>
      </c>
      <c r="DM25" s="79">
        <v>0</v>
      </c>
      <c r="DN25" s="79">
        <v>0</v>
      </c>
      <c r="DO25" s="79">
        <v>0</v>
      </c>
      <c r="DP25" s="79">
        <v>1</v>
      </c>
      <c r="DQ25" s="79">
        <v>0</v>
      </c>
      <c r="DR25" s="79">
        <v>0</v>
      </c>
      <c r="DS25" s="79">
        <v>1</v>
      </c>
      <c r="DT25" s="79">
        <v>0</v>
      </c>
      <c r="DU25" s="79">
        <v>0</v>
      </c>
      <c r="DV25" s="79">
        <v>0</v>
      </c>
      <c r="DW25" s="79">
        <v>0</v>
      </c>
      <c r="DX25" s="79">
        <v>0</v>
      </c>
      <c r="DY25" s="79">
        <v>0</v>
      </c>
      <c r="DZ25" s="79">
        <v>0</v>
      </c>
      <c r="EA25" s="79">
        <v>0</v>
      </c>
      <c r="EB25" s="79">
        <v>0</v>
      </c>
      <c r="EC25" s="79">
        <v>0</v>
      </c>
      <c r="ED25" s="79">
        <v>1</v>
      </c>
      <c r="EE25" s="79">
        <v>0</v>
      </c>
      <c r="EF25" s="79">
        <v>0</v>
      </c>
      <c r="EG25" s="79">
        <v>0</v>
      </c>
      <c r="EH25" s="79">
        <v>1</v>
      </c>
      <c r="EI25" s="79">
        <v>0</v>
      </c>
      <c r="EJ25" s="79">
        <v>0</v>
      </c>
      <c r="EK25" s="79">
        <v>0</v>
      </c>
      <c r="EL25" s="79">
        <v>0</v>
      </c>
      <c r="EM25" s="79">
        <v>0</v>
      </c>
      <c r="EN25" s="79">
        <v>0</v>
      </c>
      <c r="EO25" s="79">
        <v>0</v>
      </c>
      <c r="EP25" s="79">
        <v>0</v>
      </c>
      <c r="EQ25" s="79">
        <v>0</v>
      </c>
      <c r="ER25" s="79">
        <v>0</v>
      </c>
      <c r="ES25" s="79">
        <v>0</v>
      </c>
      <c r="ET25" s="79">
        <v>0</v>
      </c>
      <c r="EU25" s="79">
        <v>0</v>
      </c>
      <c r="EV25" s="79">
        <v>0</v>
      </c>
      <c r="EW25" s="79">
        <v>0</v>
      </c>
      <c r="EX25" s="79">
        <v>0</v>
      </c>
      <c r="EY25" s="79">
        <v>0</v>
      </c>
      <c r="EZ25" s="79"/>
      <c r="FA25" s="79">
        <v>0</v>
      </c>
      <c r="FB25" s="79">
        <v>0</v>
      </c>
      <c r="FC25" s="79">
        <v>1</v>
      </c>
      <c r="FD25" s="79">
        <v>0</v>
      </c>
      <c r="FE25" s="79">
        <v>1</v>
      </c>
      <c r="FF25" s="79">
        <v>0</v>
      </c>
      <c r="FG25" s="79">
        <v>0</v>
      </c>
      <c r="FH25" s="79">
        <v>0</v>
      </c>
      <c r="FI25" s="79">
        <v>1</v>
      </c>
      <c r="FJ25" s="79">
        <v>0</v>
      </c>
      <c r="FK25" s="79">
        <v>0</v>
      </c>
    </row>
    <row r="26" spans="1:167" ht="15.75" customHeight="1" x14ac:dyDescent="0.35">
      <c r="A26" s="88" t="s">
        <v>103</v>
      </c>
      <c r="B26" s="76"/>
      <c r="C26" s="76"/>
      <c r="D26" s="87"/>
      <c r="E26" s="78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>
        <v>1</v>
      </c>
      <c r="AU26" s="79"/>
      <c r="AV26" s="79">
        <v>4</v>
      </c>
      <c r="AW26" s="79">
        <v>1</v>
      </c>
      <c r="AX26" s="79"/>
      <c r="AY26" s="79">
        <f>VLOOKUP(A26,[4]Sheet1!$A:$B,2,FALSE)</f>
        <v>2</v>
      </c>
      <c r="AZ26" s="79"/>
      <c r="BA26" s="79">
        <f>VLOOKUP(A26,[6]Sheet1!$A:$B,2,FALSE)</f>
        <v>2</v>
      </c>
      <c r="BB26" s="79">
        <v>4</v>
      </c>
      <c r="BC26" s="79">
        <v>1</v>
      </c>
      <c r="BD26" s="79">
        <v>3</v>
      </c>
      <c r="BE26" s="79">
        <v>3</v>
      </c>
      <c r="BF26" s="79">
        <v>3</v>
      </c>
      <c r="BG26" s="79">
        <v>3</v>
      </c>
      <c r="BH26" s="79">
        <v>3</v>
      </c>
      <c r="BI26" s="79">
        <v>1</v>
      </c>
      <c r="BJ26" s="79">
        <v>2</v>
      </c>
      <c r="BK26" s="79">
        <v>4</v>
      </c>
      <c r="BL26" s="79">
        <v>1</v>
      </c>
      <c r="BM26" s="79">
        <v>2</v>
      </c>
      <c r="BN26" s="79">
        <v>4</v>
      </c>
      <c r="BO26" s="79">
        <v>2</v>
      </c>
      <c r="BP26" s="79">
        <v>8</v>
      </c>
      <c r="BQ26" s="79">
        <v>1</v>
      </c>
      <c r="BR26" s="79">
        <v>6</v>
      </c>
      <c r="BS26" s="79">
        <v>2</v>
      </c>
      <c r="BT26" s="79">
        <v>10</v>
      </c>
      <c r="BU26" s="79">
        <v>3</v>
      </c>
      <c r="BV26" s="79">
        <v>4</v>
      </c>
      <c r="BW26" s="79">
        <v>4</v>
      </c>
      <c r="BX26" s="79">
        <v>1</v>
      </c>
      <c r="BY26" s="79">
        <v>4</v>
      </c>
      <c r="BZ26" s="79">
        <v>4</v>
      </c>
      <c r="CA26" s="79">
        <v>5</v>
      </c>
      <c r="CB26" s="79">
        <v>1</v>
      </c>
      <c r="CC26" s="79">
        <v>4</v>
      </c>
      <c r="CD26" s="79">
        <v>6</v>
      </c>
      <c r="CE26" s="79">
        <v>3</v>
      </c>
      <c r="CF26" s="79">
        <v>2</v>
      </c>
      <c r="CG26" s="79">
        <v>4</v>
      </c>
      <c r="CH26" s="79">
        <v>3</v>
      </c>
      <c r="CI26" s="79">
        <v>1</v>
      </c>
      <c r="CJ26" s="79">
        <v>0</v>
      </c>
      <c r="CK26" s="79">
        <v>2</v>
      </c>
      <c r="CL26" s="79">
        <v>2</v>
      </c>
      <c r="CM26" s="79">
        <v>2</v>
      </c>
      <c r="CN26" s="79">
        <v>2</v>
      </c>
      <c r="CO26" s="79">
        <v>1</v>
      </c>
      <c r="CP26" s="79">
        <v>1</v>
      </c>
      <c r="CQ26" s="79">
        <v>3</v>
      </c>
      <c r="CR26" s="79">
        <v>0</v>
      </c>
      <c r="CS26" s="79">
        <v>2</v>
      </c>
      <c r="CT26" s="79">
        <v>1</v>
      </c>
      <c r="CU26" s="79">
        <v>1</v>
      </c>
      <c r="CV26" s="79">
        <v>1</v>
      </c>
      <c r="CW26" s="79">
        <v>0</v>
      </c>
      <c r="CX26" s="79">
        <v>2</v>
      </c>
      <c r="CY26" s="79">
        <v>0</v>
      </c>
      <c r="CZ26" s="79">
        <v>1</v>
      </c>
      <c r="DA26" s="79">
        <v>2</v>
      </c>
      <c r="DB26" s="79">
        <v>0</v>
      </c>
      <c r="DC26" s="79">
        <v>2</v>
      </c>
      <c r="DD26" s="79">
        <v>2</v>
      </c>
      <c r="DE26" s="79">
        <v>2</v>
      </c>
      <c r="DF26" s="79">
        <v>4</v>
      </c>
      <c r="DG26" s="79">
        <v>1</v>
      </c>
      <c r="DH26" s="79">
        <v>1</v>
      </c>
      <c r="DI26" s="79">
        <v>7</v>
      </c>
      <c r="DJ26" s="79">
        <v>5</v>
      </c>
      <c r="DK26" s="79">
        <v>8</v>
      </c>
      <c r="DL26" s="79">
        <v>7</v>
      </c>
      <c r="DM26" s="79">
        <v>4</v>
      </c>
      <c r="DN26" s="79">
        <v>6</v>
      </c>
      <c r="DO26" s="79">
        <v>5</v>
      </c>
      <c r="DP26" s="79">
        <v>5</v>
      </c>
      <c r="DQ26" s="79">
        <v>9</v>
      </c>
      <c r="DR26" s="79">
        <v>6</v>
      </c>
      <c r="DS26" s="79">
        <v>4</v>
      </c>
      <c r="DT26" s="79">
        <v>5</v>
      </c>
      <c r="DU26" s="79">
        <v>8</v>
      </c>
      <c r="DV26" s="79">
        <v>4</v>
      </c>
      <c r="DW26" s="79">
        <v>7</v>
      </c>
      <c r="DX26" s="79">
        <v>4</v>
      </c>
      <c r="DY26" s="79">
        <v>5</v>
      </c>
      <c r="DZ26" s="79">
        <v>3</v>
      </c>
      <c r="EA26" s="79">
        <v>6</v>
      </c>
      <c r="EB26" s="79">
        <v>6</v>
      </c>
      <c r="EC26" s="79">
        <v>4</v>
      </c>
      <c r="ED26" s="79">
        <v>5</v>
      </c>
      <c r="EE26" s="79">
        <v>5</v>
      </c>
      <c r="EF26" s="79">
        <v>6</v>
      </c>
      <c r="EG26" s="79">
        <v>5</v>
      </c>
      <c r="EH26" s="79">
        <v>7</v>
      </c>
      <c r="EI26" s="79">
        <v>4</v>
      </c>
      <c r="EJ26" s="79">
        <v>4</v>
      </c>
      <c r="EK26" s="79">
        <v>7</v>
      </c>
      <c r="EL26" s="79">
        <v>8</v>
      </c>
      <c r="EM26" s="79">
        <v>2</v>
      </c>
      <c r="EN26" s="79">
        <v>4</v>
      </c>
      <c r="EO26" s="79">
        <v>7</v>
      </c>
      <c r="EP26" s="79">
        <v>8</v>
      </c>
      <c r="EQ26" s="79">
        <v>4</v>
      </c>
      <c r="ER26" s="79">
        <v>6</v>
      </c>
      <c r="ES26" s="79">
        <v>6</v>
      </c>
      <c r="ET26" s="79">
        <v>5</v>
      </c>
      <c r="EU26" s="79">
        <v>6</v>
      </c>
      <c r="EV26" s="79">
        <v>4</v>
      </c>
      <c r="EW26" s="79">
        <v>4</v>
      </c>
      <c r="EX26" s="79">
        <v>6</v>
      </c>
      <c r="EY26" s="79">
        <v>9</v>
      </c>
      <c r="EZ26" s="79">
        <v>6</v>
      </c>
      <c r="FA26" s="79">
        <v>10</v>
      </c>
      <c r="FB26" s="79">
        <v>2</v>
      </c>
      <c r="FC26" s="79">
        <v>5</v>
      </c>
      <c r="FD26" s="79">
        <v>10</v>
      </c>
      <c r="FE26" s="79">
        <v>7</v>
      </c>
      <c r="FF26" s="79">
        <v>5</v>
      </c>
      <c r="FG26" s="79">
        <v>2</v>
      </c>
      <c r="FH26" s="79">
        <v>0</v>
      </c>
      <c r="FI26" s="79">
        <v>2</v>
      </c>
      <c r="FJ26" s="79">
        <v>2</v>
      </c>
      <c r="FK26" s="79">
        <v>0</v>
      </c>
    </row>
    <row r="27" spans="1:167" ht="15.75" customHeight="1" x14ac:dyDescent="0.35">
      <c r="A27" s="80" t="s">
        <v>200</v>
      </c>
      <c r="B27" s="76"/>
      <c r="C27" s="76"/>
      <c r="D27" s="87"/>
      <c r="E27" s="78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>
        <v>2</v>
      </c>
      <c r="V27" s="79">
        <v>1</v>
      </c>
      <c r="W27" s="79">
        <v>3</v>
      </c>
      <c r="X27" s="79">
        <v>2</v>
      </c>
      <c r="Y27" s="79">
        <v>2</v>
      </c>
      <c r="Z27" s="79">
        <v>2</v>
      </c>
      <c r="AA27" s="79">
        <v>2</v>
      </c>
      <c r="AB27" s="79">
        <v>1</v>
      </c>
      <c r="AC27" s="79">
        <v>1</v>
      </c>
      <c r="AD27" s="79">
        <v>3</v>
      </c>
      <c r="AE27" s="79">
        <v>3</v>
      </c>
      <c r="AF27" s="79">
        <v>3</v>
      </c>
      <c r="AG27" s="79">
        <v>3</v>
      </c>
      <c r="AH27" s="79">
        <v>13</v>
      </c>
      <c r="AI27" s="79">
        <v>2</v>
      </c>
      <c r="AJ27" s="79">
        <v>2</v>
      </c>
      <c r="AK27" s="79">
        <v>2</v>
      </c>
      <c r="AL27" s="79">
        <v>2</v>
      </c>
      <c r="AM27" s="79">
        <v>2</v>
      </c>
      <c r="AN27" s="79">
        <f>VLOOKUP(A27,[7]Sheet1!$A:$B,2,FALSE)</f>
        <v>4</v>
      </c>
      <c r="AO27" s="79">
        <v>5</v>
      </c>
      <c r="AP27" s="79">
        <v>5</v>
      </c>
      <c r="AQ27" s="79">
        <v>2</v>
      </c>
      <c r="AR27" s="79">
        <v>6</v>
      </c>
      <c r="AS27" s="79">
        <v>5</v>
      </c>
      <c r="AT27" s="79">
        <v>1</v>
      </c>
      <c r="AU27" s="79">
        <v>2</v>
      </c>
      <c r="AV27" s="79">
        <v>4</v>
      </c>
      <c r="AW27" s="79">
        <v>4</v>
      </c>
      <c r="AX27" s="79"/>
      <c r="AY27" s="79">
        <f>VLOOKUP(A27,[4]Sheet1!$A:$B,2,FALSE)</f>
        <v>2</v>
      </c>
      <c r="AZ27" s="79">
        <f>VLOOKUP(A27,[5]Sheet1!$A:$B,2,FALSE)</f>
        <v>6</v>
      </c>
      <c r="BA27" s="79">
        <f>VLOOKUP(A27,[6]Sheet1!$A:$B,2,FALSE)</f>
        <v>4</v>
      </c>
      <c r="BB27" s="79">
        <v>5</v>
      </c>
      <c r="BC27" s="79">
        <v>5</v>
      </c>
      <c r="BD27" s="79">
        <v>5</v>
      </c>
      <c r="BE27" s="79">
        <v>4</v>
      </c>
      <c r="BF27" s="79">
        <v>3</v>
      </c>
      <c r="BG27" s="79">
        <v>5</v>
      </c>
      <c r="BH27" s="79">
        <v>4</v>
      </c>
      <c r="BI27" s="79">
        <v>4</v>
      </c>
      <c r="BJ27" s="79">
        <v>3</v>
      </c>
      <c r="BK27" s="79">
        <v>1</v>
      </c>
      <c r="BL27" s="79">
        <v>5</v>
      </c>
      <c r="BM27" s="79">
        <v>1</v>
      </c>
      <c r="BN27" s="79">
        <v>2</v>
      </c>
      <c r="BO27" s="79">
        <v>7</v>
      </c>
      <c r="BP27" s="79">
        <v>1</v>
      </c>
      <c r="BQ27" s="79">
        <v>6</v>
      </c>
      <c r="BR27" s="79">
        <v>5</v>
      </c>
      <c r="BS27" s="79">
        <v>8</v>
      </c>
      <c r="BT27" s="79">
        <v>3</v>
      </c>
      <c r="BU27" s="79">
        <v>5</v>
      </c>
      <c r="BV27" s="79">
        <v>6</v>
      </c>
      <c r="BW27" s="79">
        <v>4</v>
      </c>
      <c r="BX27" s="79">
        <v>6</v>
      </c>
      <c r="BY27" s="79">
        <v>10</v>
      </c>
      <c r="BZ27" s="79">
        <v>4</v>
      </c>
      <c r="CA27" s="79">
        <v>3</v>
      </c>
      <c r="CB27" s="79">
        <v>7</v>
      </c>
      <c r="CC27" s="79">
        <v>4</v>
      </c>
      <c r="CD27" s="79">
        <v>5</v>
      </c>
      <c r="CE27" s="79">
        <v>5</v>
      </c>
      <c r="CF27" s="79">
        <v>7</v>
      </c>
      <c r="CG27" s="79">
        <v>4</v>
      </c>
      <c r="CH27" s="79">
        <v>3</v>
      </c>
      <c r="CI27" s="79">
        <v>2</v>
      </c>
      <c r="CJ27" s="79">
        <v>2</v>
      </c>
      <c r="CK27" s="79">
        <v>3</v>
      </c>
      <c r="CL27" s="79">
        <v>6</v>
      </c>
      <c r="CM27" s="79">
        <v>5</v>
      </c>
      <c r="CN27" s="79">
        <v>12</v>
      </c>
      <c r="CO27" s="79">
        <v>5</v>
      </c>
      <c r="CP27" s="79">
        <v>7</v>
      </c>
      <c r="CQ27" s="79">
        <v>9</v>
      </c>
      <c r="CR27" s="79">
        <v>7</v>
      </c>
      <c r="CS27" s="79">
        <v>4</v>
      </c>
      <c r="CT27" s="79">
        <v>1</v>
      </c>
      <c r="CU27" s="79">
        <v>3</v>
      </c>
      <c r="CV27" s="79">
        <v>4</v>
      </c>
      <c r="CW27" s="79">
        <v>7</v>
      </c>
      <c r="CX27" s="79">
        <v>6</v>
      </c>
      <c r="CY27" s="79">
        <v>7</v>
      </c>
      <c r="CZ27" s="79">
        <v>4</v>
      </c>
      <c r="DA27" s="79">
        <v>6</v>
      </c>
      <c r="DB27" s="79">
        <v>2</v>
      </c>
      <c r="DC27" s="79">
        <v>4</v>
      </c>
      <c r="DD27" s="79">
        <v>4</v>
      </c>
      <c r="DE27" s="79">
        <v>7</v>
      </c>
      <c r="DF27" s="79">
        <v>4</v>
      </c>
      <c r="DG27" s="79">
        <v>4</v>
      </c>
      <c r="DH27" s="79">
        <v>11</v>
      </c>
      <c r="DI27" s="79">
        <v>7</v>
      </c>
      <c r="DJ27" s="79">
        <v>2</v>
      </c>
      <c r="DK27" s="79">
        <v>3</v>
      </c>
      <c r="DL27" s="79">
        <v>3</v>
      </c>
      <c r="DM27" s="79">
        <v>9</v>
      </c>
      <c r="DN27" s="79">
        <v>7</v>
      </c>
      <c r="DO27" s="79">
        <v>7</v>
      </c>
      <c r="DP27" s="79">
        <v>2</v>
      </c>
      <c r="DQ27" s="79">
        <v>5</v>
      </c>
      <c r="DR27" s="79">
        <v>6</v>
      </c>
      <c r="DS27" s="79">
        <v>14</v>
      </c>
      <c r="DT27" s="79">
        <v>6</v>
      </c>
      <c r="DU27" s="79">
        <v>12</v>
      </c>
      <c r="DV27" s="79">
        <v>10</v>
      </c>
      <c r="DW27" s="79">
        <v>9</v>
      </c>
      <c r="DX27" s="79">
        <v>7</v>
      </c>
      <c r="DY27" s="79">
        <v>7</v>
      </c>
      <c r="DZ27" s="79">
        <v>6</v>
      </c>
      <c r="EA27" s="79">
        <v>3</v>
      </c>
      <c r="EB27" s="79">
        <v>1</v>
      </c>
      <c r="EC27" s="79">
        <v>1</v>
      </c>
      <c r="ED27" s="79">
        <v>2</v>
      </c>
      <c r="EE27" s="79">
        <v>8</v>
      </c>
      <c r="EF27" s="79">
        <v>2</v>
      </c>
      <c r="EG27" s="79">
        <v>1</v>
      </c>
      <c r="EH27" s="79">
        <v>4</v>
      </c>
      <c r="EI27" s="79">
        <v>0</v>
      </c>
      <c r="EJ27" s="79">
        <v>0</v>
      </c>
      <c r="EK27" s="79">
        <v>1</v>
      </c>
      <c r="EL27" s="79">
        <v>1</v>
      </c>
      <c r="EM27" s="79">
        <v>1</v>
      </c>
      <c r="EN27" s="79">
        <v>4</v>
      </c>
      <c r="EO27" s="79">
        <v>9</v>
      </c>
      <c r="EP27" s="79">
        <v>5</v>
      </c>
      <c r="EQ27" s="79">
        <v>5</v>
      </c>
      <c r="ER27" s="79">
        <v>8</v>
      </c>
      <c r="ES27" s="79">
        <v>6</v>
      </c>
      <c r="ET27" s="79">
        <v>8</v>
      </c>
      <c r="EU27" s="79">
        <v>5</v>
      </c>
      <c r="EV27" s="79">
        <v>7</v>
      </c>
      <c r="EW27" s="79">
        <v>3</v>
      </c>
      <c r="EX27" s="79">
        <v>4</v>
      </c>
      <c r="EY27" s="79">
        <v>8</v>
      </c>
      <c r="EZ27" s="79">
        <v>7</v>
      </c>
      <c r="FA27" s="79">
        <v>10</v>
      </c>
      <c r="FB27" s="79">
        <v>3</v>
      </c>
      <c r="FC27" s="79">
        <v>9</v>
      </c>
      <c r="FD27" s="79">
        <v>5</v>
      </c>
      <c r="FE27" s="79">
        <v>7</v>
      </c>
      <c r="FF27" s="79">
        <v>5</v>
      </c>
      <c r="FG27" s="79">
        <v>6</v>
      </c>
      <c r="FH27" s="79">
        <v>10</v>
      </c>
      <c r="FI27" s="79">
        <v>7</v>
      </c>
      <c r="FJ27" s="79">
        <v>6</v>
      </c>
      <c r="FK27" s="79">
        <v>2</v>
      </c>
    </row>
    <row r="28" spans="1:167" ht="15.75" customHeight="1" x14ac:dyDescent="0.35">
      <c r="A28" s="80" t="s">
        <v>205</v>
      </c>
      <c r="B28" s="76"/>
      <c r="C28" s="76">
        <v>1</v>
      </c>
      <c r="D28" s="87"/>
      <c r="E28" s="78"/>
      <c r="F28" s="79"/>
      <c r="G28" s="79"/>
      <c r="H28" s="79"/>
      <c r="I28" s="79"/>
      <c r="J28" s="79"/>
      <c r="K28" s="79">
        <v>1</v>
      </c>
      <c r="L28" s="79">
        <v>1</v>
      </c>
      <c r="M28" s="79"/>
      <c r="N28" s="79"/>
      <c r="O28" s="79"/>
      <c r="P28" s="79">
        <v>1</v>
      </c>
      <c r="Q28" s="79"/>
      <c r="R28" s="79">
        <v>2</v>
      </c>
      <c r="S28" s="79">
        <v>4</v>
      </c>
      <c r="T28" s="79"/>
      <c r="U28" s="79"/>
      <c r="V28" s="79"/>
      <c r="W28" s="79">
        <v>1</v>
      </c>
      <c r="X28" s="79"/>
      <c r="Y28" s="79">
        <v>6</v>
      </c>
      <c r="Z28" s="79">
        <v>2</v>
      </c>
      <c r="AA28" s="79">
        <v>7</v>
      </c>
      <c r="AB28" s="79">
        <v>2</v>
      </c>
      <c r="AC28" s="79">
        <v>2</v>
      </c>
      <c r="AD28" s="79">
        <v>5</v>
      </c>
      <c r="AE28" s="79">
        <v>2</v>
      </c>
      <c r="AF28" s="79">
        <v>2</v>
      </c>
      <c r="AG28" s="79">
        <v>3</v>
      </c>
      <c r="AH28" s="79">
        <v>2</v>
      </c>
      <c r="AI28" s="79">
        <v>13</v>
      </c>
      <c r="AJ28" s="79">
        <v>1</v>
      </c>
      <c r="AK28" s="79">
        <v>2</v>
      </c>
      <c r="AL28" s="79">
        <v>2</v>
      </c>
      <c r="AM28" s="79">
        <v>1</v>
      </c>
      <c r="AN28" s="79">
        <f>VLOOKUP(A28,[7]Sheet1!$A:$B,2,FALSE)</f>
        <v>3</v>
      </c>
      <c r="AO28" s="79">
        <v>2</v>
      </c>
      <c r="AP28" s="79">
        <v>3</v>
      </c>
      <c r="AQ28" s="79">
        <v>1</v>
      </c>
      <c r="AR28" s="79">
        <v>7</v>
      </c>
      <c r="AS28" s="79">
        <v>3</v>
      </c>
      <c r="AT28" s="79">
        <v>8</v>
      </c>
      <c r="AU28" s="79">
        <v>2</v>
      </c>
      <c r="AV28" s="79">
        <v>3</v>
      </c>
      <c r="AW28" s="79">
        <v>8</v>
      </c>
      <c r="AX28" s="79"/>
      <c r="AY28" s="79">
        <f>VLOOKUP(A28,[4]Sheet1!$A:$B,2,FALSE)</f>
        <v>7</v>
      </c>
      <c r="AZ28" s="79">
        <f>VLOOKUP(A28,[5]Sheet1!$A:$B,2,FALSE)</f>
        <v>1</v>
      </c>
      <c r="BA28" s="79">
        <f>VLOOKUP(A28,[6]Sheet1!$A:$B,2,FALSE)</f>
        <v>1</v>
      </c>
      <c r="BB28" s="79"/>
      <c r="BC28" s="79"/>
      <c r="BD28" s="79">
        <v>1</v>
      </c>
      <c r="BE28" s="79">
        <v>11</v>
      </c>
      <c r="BF28" s="79"/>
      <c r="BG28" s="79">
        <v>4</v>
      </c>
      <c r="BH28" s="79">
        <v>4</v>
      </c>
      <c r="BI28" s="79">
        <v>8</v>
      </c>
      <c r="BJ28" s="79">
        <v>0</v>
      </c>
      <c r="BK28" s="79">
        <v>1</v>
      </c>
      <c r="BL28" s="79">
        <v>2</v>
      </c>
      <c r="BM28" s="79">
        <v>3</v>
      </c>
      <c r="BN28" s="79">
        <v>1</v>
      </c>
      <c r="BO28" s="79">
        <v>2</v>
      </c>
      <c r="BP28" s="79">
        <v>3</v>
      </c>
      <c r="BQ28" s="79">
        <v>2</v>
      </c>
      <c r="BR28" s="79">
        <v>7</v>
      </c>
      <c r="BS28" s="79">
        <v>1</v>
      </c>
      <c r="BT28" s="79">
        <v>4</v>
      </c>
      <c r="BU28" s="79">
        <v>2</v>
      </c>
      <c r="BV28" s="79">
        <v>2</v>
      </c>
      <c r="BW28" s="79">
        <v>3</v>
      </c>
      <c r="BX28" s="79">
        <v>5</v>
      </c>
      <c r="BY28" s="79">
        <v>1</v>
      </c>
      <c r="BZ28" s="79">
        <v>21</v>
      </c>
      <c r="CA28" s="79">
        <v>4</v>
      </c>
      <c r="CB28" s="79">
        <v>4</v>
      </c>
      <c r="CC28" s="79">
        <v>3</v>
      </c>
      <c r="CD28" s="79">
        <v>5</v>
      </c>
      <c r="CE28" s="79">
        <v>3</v>
      </c>
      <c r="CF28" s="79">
        <v>4</v>
      </c>
      <c r="CG28" s="79">
        <v>3</v>
      </c>
      <c r="CH28" s="79">
        <v>2</v>
      </c>
      <c r="CI28" s="79">
        <v>1</v>
      </c>
      <c r="CJ28" s="79">
        <v>39</v>
      </c>
      <c r="CK28" s="79">
        <v>1</v>
      </c>
      <c r="CL28" s="79">
        <v>3</v>
      </c>
      <c r="CM28" s="79">
        <v>5</v>
      </c>
      <c r="CN28" s="79">
        <v>39</v>
      </c>
      <c r="CO28" s="79">
        <v>32</v>
      </c>
      <c r="CP28" s="79">
        <v>0</v>
      </c>
      <c r="CQ28" s="79">
        <v>1</v>
      </c>
      <c r="CR28" s="79">
        <v>3</v>
      </c>
      <c r="CS28" s="79">
        <v>19</v>
      </c>
      <c r="CT28" s="79">
        <v>1</v>
      </c>
      <c r="CU28" s="79">
        <v>10</v>
      </c>
      <c r="CV28" s="79">
        <v>0</v>
      </c>
      <c r="CW28" s="79">
        <v>9</v>
      </c>
      <c r="CX28" s="79">
        <v>13</v>
      </c>
      <c r="CY28" s="79">
        <v>23</v>
      </c>
      <c r="CZ28" s="79">
        <v>3</v>
      </c>
      <c r="DA28" s="79">
        <v>0</v>
      </c>
      <c r="DB28" s="79">
        <v>0</v>
      </c>
      <c r="DC28" s="79">
        <v>8</v>
      </c>
      <c r="DD28" s="79">
        <v>8</v>
      </c>
      <c r="DE28" s="79">
        <v>9</v>
      </c>
      <c r="DF28" s="79">
        <v>12</v>
      </c>
      <c r="DG28" s="79">
        <v>4</v>
      </c>
      <c r="DH28" s="79">
        <v>7</v>
      </c>
      <c r="DI28" s="79">
        <v>1</v>
      </c>
      <c r="DJ28" s="79">
        <v>30</v>
      </c>
      <c r="DK28" s="79">
        <v>4</v>
      </c>
      <c r="DL28" s="79">
        <v>5</v>
      </c>
      <c r="DM28" s="79">
        <v>0</v>
      </c>
      <c r="DN28" s="79">
        <v>21</v>
      </c>
      <c r="DO28" s="79">
        <v>26</v>
      </c>
      <c r="DP28" s="79">
        <v>24</v>
      </c>
      <c r="DQ28" s="79">
        <v>12</v>
      </c>
      <c r="DR28" s="79">
        <v>22</v>
      </c>
      <c r="DS28" s="79">
        <v>13</v>
      </c>
      <c r="DT28" s="79">
        <v>15</v>
      </c>
      <c r="DU28" s="79">
        <v>10</v>
      </c>
      <c r="DV28" s="79">
        <v>2</v>
      </c>
      <c r="DW28" s="79">
        <v>9</v>
      </c>
      <c r="DX28" s="79">
        <v>9</v>
      </c>
      <c r="DY28" s="79">
        <v>7</v>
      </c>
      <c r="DZ28" s="79">
        <v>8</v>
      </c>
      <c r="EA28" s="79">
        <v>8</v>
      </c>
      <c r="EB28" s="79">
        <v>13</v>
      </c>
      <c r="EC28" s="79">
        <v>8</v>
      </c>
      <c r="ED28" s="79">
        <v>4</v>
      </c>
      <c r="EE28" s="79">
        <v>4</v>
      </c>
      <c r="EF28" s="79">
        <v>12</v>
      </c>
      <c r="EG28" s="79">
        <v>5</v>
      </c>
      <c r="EH28" s="79">
        <v>16</v>
      </c>
      <c r="EI28" s="79">
        <v>19</v>
      </c>
      <c r="EJ28" s="79">
        <v>2</v>
      </c>
      <c r="EK28" s="79">
        <v>10</v>
      </c>
      <c r="EL28" s="79">
        <v>7</v>
      </c>
      <c r="EM28" s="79">
        <v>10</v>
      </c>
      <c r="EN28" s="79">
        <v>0</v>
      </c>
      <c r="EO28" s="79">
        <v>1</v>
      </c>
      <c r="EP28" s="79">
        <v>2</v>
      </c>
      <c r="EQ28" s="79">
        <v>2</v>
      </c>
      <c r="ER28" s="79">
        <v>1</v>
      </c>
      <c r="ES28" s="79">
        <v>0</v>
      </c>
      <c r="ET28" s="79">
        <v>1</v>
      </c>
      <c r="EU28" s="79">
        <v>1</v>
      </c>
      <c r="EV28" s="79">
        <v>0</v>
      </c>
      <c r="EW28" s="79">
        <v>0</v>
      </c>
      <c r="EX28" s="79">
        <v>0</v>
      </c>
      <c r="EY28" s="79">
        <v>1</v>
      </c>
      <c r="EZ28" s="79">
        <v>1</v>
      </c>
      <c r="FA28" s="79">
        <v>0</v>
      </c>
      <c r="FB28" s="79">
        <v>0</v>
      </c>
      <c r="FC28" s="79">
        <v>0</v>
      </c>
      <c r="FD28" s="79">
        <v>0</v>
      </c>
      <c r="FE28" s="79">
        <v>0</v>
      </c>
      <c r="FF28" s="79">
        <v>0</v>
      </c>
      <c r="FG28" s="79">
        <v>3</v>
      </c>
      <c r="FH28" s="79">
        <v>2</v>
      </c>
      <c r="FI28" s="79">
        <v>1</v>
      </c>
      <c r="FJ28" s="79">
        <v>4</v>
      </c>
      <c r="FK28" s="79">
        <v>1</v>
      </c>
    </row>
    <row r="29" spans="1:167" ht="15.75" customHeight="1" x14ac:dyDescent="0.35">
      <c r="A29" s="88" t="s">
        <v>104</v>
      </c>
      <c r="B29" s="76"/>
      <c r="C29" s="76"/>
      <c r="D29" s="87">
        <v>5</v>
      </c>
      <c r="E29" s="78">
        <v>2</v>
      </c>
      <c r="F29" s="79"/>
      <c r="G29" s="79"/>
      <c r="H29" s="79">
        <v>2</v>
      </c>
      <c r="I29" s="79">
        <v>2</v>
      </c>
      <c r="J29" s="79">
        <v>1</v>
      </c>
      <c r="K29" s="79">
        <v>1</v>
      </c>
      <c r="L29" s="79"/>
      <c r="M29" s="79"/>
      <c r="N29" s="79">
        <v>3</v>
      </c>
      <c r="O29" s="79"/>
      <c r="P29" s="79"/>
      <c r="Q29" s="79">
        <v>2</v>
      </c>
      <c r="R29" s="79">
        <v>2</v>
      </c>
      <c r="S29" s="79">
        <v>2</v>
      </c>
      <c r="T29" s="79">
        <v>1</v>
      </c>
      <c r="U29" s="79">
        <v>2</v>
      </c>
      <c r="V29" s="79">
        <v>1</v>
      </c>
      <c r="W29" s="79">
        <v>3</v>
      </c>
      <c r="X29" s="79">
        <v>2</v>
      </c>
      <c r="Y29" s="79">
        <v>9</v>
      </c>
      <c r="Z29" s="79">
        <v>3</v>
      </c>
      <c r="AA29" s="79">
        <v>1</v>
      </c>
      <c r="AB29" s="79">
        <v>2</v>
      </c>
      <c r="AC29" s="79">
        <v>2</v>
      </c>
      <c r="AD29" s="79">
        <v>1</v>
      </c>
      <c r="AE29" s="79">
        <v>3</v>
      </c>
      <c r="AF29" s="79"/>
      <c r="AG29" s="79">
        <v>1</v>
      </c>
      <c r="AH29" s="79">
        <v>1</v>
      </c>
      <c r="AI29" s="79">
        <v>1</v>
      </c>
      <c r="AJ29" s="79"/>
      <c r="AK29" s="79"/>
      <c r="AL29" s="79"/>
      <c r="AM29" s="79">
        <v>1</v>
      </c>
      <c r="AN29" s="79">
        <f>VLOOKUP(A29,[7]Sheet1!$A:$B,2,FALSE)</f>
        <v>3</v>
      </c>
      <c r="AO29" s="79"/>
      <c r="AP29" s="79">
        <v>1</v>
      </c>
      <c r="AQ29" s="79"/>
      <c r="AR29" s="79">
        <v>1</v>
      </c>
      <c r="AS29" s="79">
        <v>2</v>
      </c>
      <c r="AT29" s="79">
        <v>3</v>
      </c>
      <c r="AU29" s="79"/>
      <c r="AV29" s="79"/>
      <c r="AW29" s="79">
        <v>1</v>
      </c>
      <c r="AX29" s="79"/>
      <c r="AY29" s="79"/>
      <c r="AZ29" s="79"/>
      <c r="BA29" s="79">
        <f>VLOOKUP(A29,[6]Sheet1!$A:$B,2,FALSE)</f>
        <v>2</v>
      </c>
      <c r="BB29" s="79"/>
      <c r="BC29" s="79">
        <v>1</v>
      </c>
      <c r="BD29" s="79">
        <v>1</v>
      </c>
      <c r="BE29" s="79">
        <v>2</v>
      </c>
      <c r="BF29" s="79"/>
      <c r="BG29" s="79">
        <v>2</v>
      </c>
      <c r="BH29" s="79">
        <v>1</v>
      </c>
      <c r="BI29" s="79">
        <v>1</v>
      </c>
      <c r="BJ29" s="79">
        <v>0</v>
      </c>
      <c r="BK29" s="79">
        <v>1</v>
      </c>
      <c r="BL29" s="79">
        <v>3</v>
      </c>
      <c r="BM29" s="79">
        <v>2</v>
      </c>
      <c r="BN29" s="79">
        <v>2</v>
      </c>
      <c r="BO29" s="79">
        <v>0</v>
      </c>
      <c r="BP29" s="79">
        <v>1</v>
      </c>
      <c r="BQ29" s="79">
        <v>0</v>
      </c>
      <c r="BR29" s="79">
        <v>1</v>
      </c>
      <c r="BS29" s="79">
        <v>0</v>
      </c>
      <c r="BT29" s="79">
        <v>0</v>
      </c>
      <c r="BU29" s="79">
        <v>4</v>
      </c>
      <c r="BV29" s="79">
        <v>1</v>
      </c>
      <c r="BW29" s="79">
        <v>0</v>
      </c>
      <c r="BX29" s="79">
        <v>1</v>
      </c>
      <c r="BY29" s="79">
        <v>4</v>
      </c>
      <c r="BZ29" s="79">
        <v>3</v>
      </c>
      <c r="CA29" s="79">
        <v>1</v>
      </c>
      <c r="CB29" s="79">
        <v>2</v>
      </c>
      <c r="CC29" s="79">
        <v>3</v>
      </c>
      <c r="CD29" s="79">
        <v>1</v>
      </c>
      <c r="CE29" s="79">
        <v>0</v>
      </c>
      <c r="CF29" s="79">
        <v>0</v>
      </c>
      <c r="CG29" s="79">
        <v>1</v>
      </c>
      <c r="CH29" s="79">
        <v>0</v>
      </c>
      <c r="CI29" s="79">
        <v>2</v>
      </c>
      <c r="CJ29" s="79">
        <v>0</v>
      </c>
      <c r="CK29" s="79">
        <v>1</v>
      </c>
      <c r="CL29" s="79">
        <v>0</v>
      </c>
      <c r="CM29" s="79">
        <v>2</v>
      </c>
      <c r="CN29" s="79">
        <v>0</v>
      </c>
      <c r="CO29" s="79">
        <v>1</v>
      </c>
      <c r="CP29" s="79">
        <v>0</v>
      </c>
      <c r="CQ29" s="79">
        <v>1</v>
      </c>
      <c r="CR29" s="79">
        <v>1</v>
      </c>
      <c r="CS29" s="79">
        <v>1</v>
      </c>
      <c r="CT29" s="79">
        <v>2</v>
      </c>
      <c r="CU29" s="79">
        <v>1</v>
      </c>
      <c r="CV29" s="79">
        <v>4</v>
      </c>
      <c r="CW29" s="79">
        <v>2</v>
      </c>
      <c r="CX29" s="79">
        <v>1</v>
      </c>
      <c r="CY29" s="79">
        <v>0</v>
      </c>
      <c r="CZ29" s="79">
        <v>0</v>
      </c>
      <c r="DA29" s="79">
        <v>0</v>
      </c>
      <c r="DB29" s="79">
        <v>2</v>
      </c>
      <c r="DC29" s="79">
        <v>1</v>
      </c>
      <c r="DD29" s="79">
        <v>2</v>
      </c>
      <c r="DE29" s="79">
        <v>2</v>
      </c>
      <c r="DF29" s="79">
        <v>4</v>
      </c>
      <c r="DG29" s="79">
        <v>0</v>
      </c>
      <c r="DH29" s="79">
        <v>1</v>
      </c>
      <c r="DI29" s="79">
        <v>1</v>
      </c>
      <c r="DJ29" s="79">
        <v>1</v>
      </c>
      <c r="DK29" s="79">
        <v>2</v>
      </c>
      <c r="DL29" s="79">
        <v>1</v>
      </c>
      <c r="DM29" s="79">
        <v>4</v>
      </c>
      <c r="DN29" s="79">
        <v>2</v>
      </c>
      <c r="DO29" s="79">
        <v>1</v>
      </c>
      <c r="DP29" s="79">
        <v>0</v>
      </c>
      <c r="DQ29" s="79">
        <v>3</v>
      </c>
      <c r="DR29" s="79">
        <v>6</v>
      </c>
      <c r="DS29" s="79">
        <v>3</v>
      </c>
      <c r="DT29" s="79">
        <v>4</v>
      </c>
      <c r="DU29" s="79">
        <v>2</v>
      </c>
      <c r="DV29" s="79">
        <v>3</v>
      </c>
      <c r="DW29" s="79">
        <v>4</v>
      </c>
      <c r="DX29" s="79">
        <v>7</v>
      </c>
      <c r="DY29" s="79">
        <v>3</v>
      </c>
      <c r="DZ29" s="79">
        <v>6</v>
      </c>
      <c r="EA29" s="79">
        <v>4</v>
      </c>
      <c r="EB29" s="79">
        <v>8</v>
      </c>
      <c r="EC29" s="79">
        <v>6</v>
      </c>
      <c r="ED29" s="79">
        <v>17</v>
      </c>
      <c r="EE29" s="79">
        <v>4</v>
      </c>
      <c r="EF29" s="79">
        <v>3</v>
      </c>
      <c r="EG29" s="79">
        <v>3</v>
      </c>
      <c r="EH29" s="79">
        <v>3</v>
      </c>
      <c r="EI29" s="79">
        <v>2</v>
      </c>
      <c r="EJ29" s="79">
        <v>0</v>
      </c>
      <c r="EK29" s="79">
        <v>1</v>
      </c>
      <c r="EL29" s="79">
        <v>10</v>
      </c>
      <c r="EM29" s="79">
        <v>3</v>
      </c>
      <c r="EN29" s="79">
        <v>5</v>
      </c>
      <c r="EO29" s="79">
        <v>8</v>
      </c>
      <c r="EP29" s="79">
        <v>5</v>
      </c>
      <c r="EQ29" s="79">
        <v>7</v>
      </c>
      <c r="ER29" s="79">
        <v>16</v>
      </c>
      <c r="ES29" s="79">
        <v>13</v>
      </c>
      <c r="ET29" s="79">
        <v>5</v>
      </c>
      <c r="EU29" s="79">
        <v>9</v>
      </c>
      <c r="EV29" s="79">
        <v>13</v>
      </c>
      <c r="EW29" s="79">
        <v>7</v>
      </c>
      <c r="EX29" s="79">
        <v>9</v>
      </c>
      <c r="EY29" s="79">
        <v>3</v>
      </c>
      <c r="EZ29" s="79">
        <v>6</v>
      </c>
      <c r="FA29" s="79">
        <v>12</v>
      </c>
      <c r="FB29" s="79">
        <v>3</v>
      </c>
      <c r="FC29" s="79">
        <v>11</v>
      </c>
      <c r="FD29" s="79">
        <v>6</v>
      </c>
      <c r="FE29" s="79">
        <v>10</v>
      </c>
      <c r="FF29" s="79">
        <v>6</v>
      </c>
      <c r="FG29" s="79">
        <v>6</v>
      </c>
      <c r="FH29" s="79">
        <v>8</v>
      </c>
      <c r="FI29" s="79">
        <v>14</v>
      </c>
      <c r="FJ29" s="79">
        <v>8</v>
      </c>
      <c r="FK29" s="79">
        <v>5</v>
      </c>
    </row>
    <row r="30" spans="1:167" ht="15.75" hidden="1" customHeight="1" x14ac:dyDescent="0.35">
      <c r="A30" s="88" t="s">
        <v>221</v>
      </c>
      <c r="B30" s="76"/>
      <c r="C30" s="76"/>
      <c r="D30" s="87"/>
      <c r="E30" s="78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>
        <v>2</v>
      </c>
      <c r="BE30" s="79"/>
      <c r="BF30" s="79"/>
      <c r="BG30" s="79"/>
      <c r="BH30" s="79">
        <v>1</v>
      </c>
      <c r="BI30" s="79"/>
      <c r="BJ30" s="79">
        <v>0</v>
      </c>
      <c r="BK30" s="79">
        <v>1</v>
      </c>
      <c r="BL30" s="79">
        <v>0</v>
      </c>
      <c r="BM30" s="79">
        <v>1</v>
      </c>
      <c r="BN30" s="79">
        <v>0</v>
      </c>
      <c r="BO30" s="79">
        <v>2</v>
      </c>
      <c r="BP30" s="79">
        <v>0</v>
      </c>
      <c r="BQ30" s="79">
        <v>0</v>
      </c>
      <c r="BR30" s="79">
        <v>2</v>
      </c>
      <c r="BS30" s="79">
        <v>1</v>
      </c>
      <c r="BT30" s="79">
        <v>1</v>
      </c>
      <c r="BU30" s="79">
        <v>4</v>
      </c>
      <c r="BV30" s="79">
        <v>0</v>
      </c>
      <c r="BW30" s="79">
        <v>1</v>
      </c>
      <c r="BX30" s="79">
        <v>0</v>
      </c>
      <c r="BY30" s="79">
        <v>2</v>
      </c>
      <c r="BZ30" s="79">
        <v>0</v>
      </c>
      <c r="CA30" s="79">
        <v>1</v>
      </c>
      <c r="CB30" s="79">
        <v>0</v>
      </c>
      <c r="CC30" s="79">
        <v>1</v>
      </c>
      <c r="CD30" s="79">
        <v>4</v>
      </c>
      <c r="CE30" s="79">
        <v>1</v>
      </c>
      <c r="CF30" s="79">
        <v>1</v>
      </c>
      <c r="CG30" s="79">
        <v>0</v>
      </c>
      <c r="CH30" s="79">
        <v>0</v>
      </c>
      <c r="CI30" s="79">
        <v>0</v>
      </c>
      <c r="CJ30" s="79">
        <v>0</v>
      </c>
      <c r="CK30" s="79">
        <v>0</v>
      </c>
      <c r="CL30" s="79">
        <v>0</v>
      </c>
      <c r="CM30" s="79">
        <v>0</v>
      </c>
      <c r="CN30" s="79">
        <v>1</v>
      </c>
      <c r="CO30" s="79">
        <v>2</v>
      </c>
      <c r="CP30" s="79">
        <v>0</v>
      </c>
      <c r="CQ30" s="79">
        <v>3</v>
      </c>
      <c r="CR30" s="79">
        <v>2</v>
      </c>
      <c r="CS30" s="79">
        <v>1</v>
      </c>
      <c r="CT30" s="79">
        <v>1</v>
      </c>
      <c r="CU30" s="79">
        <v>5</v>
      </c>
      <c r="CV30" s="79">
        <v>1</v>
      </c>
      <c r="CW30" s="79">
        <v>0</v>
      </c>
      <c r="CX30" s="79">
        <v>2</v>
      </c>
      <c r="CY30" s="79">
        <v>0</v>
      </c>
      <c r="CZ30" s="79">
        <v>0</v>
      </c>
      <c r="DA30" s="79">
        <v>0</v>
      </c>
      <c r="DB30" s="79">
        <v>1</v>
      </c>
      <c r="DC30" s="79">
        <v>3</v>
      </c>
      <c r="DD30" s="79">
        <v>0</v>
      </c>
      <c r="DE30" s="79">
        <v>1</v>
      </c>
      <c r="DF30" s="79">
        <v>0</v>
      </c>
      <c r="DG30" s="79">
        <v>0</v>
      </c>
      <c r="DH30" s="79">
        <v>3</v>
      </c>
      <c r="DI30" s="79">
        <v>0</v>
      </c>
      <c r="DJ30" s="79">
        <v>2</v>
      </c>
      <c r="DK30" s="79">
        <v>0</v>
      </c>
      <c r="DL30" s="79">
        <v>0</v>
      </c>
      <c r="DM30" s="79">
        <v>2</v>
      </c>
      <c r="DN30" s="79">
        <v>0</v>
      </c>
      <c r="DO30" s="79">
        <v>2</v>
      </c>
      <c r="DP30" s="79">
        <v>0</v>
      </c>
      <c r="DQ30" s="79">
        <v>0</v>
      </c>
      <c r="DR30" s="79">
        <v>0</v>
      </c>
      <c r="DS30" s="79">
        <v>0</v>
      </c>
      <c r="DT30" s="79">
        <v>0</v>
      </c>
      <c r="DU30" s="79">
        <v>0</v>
      </c>
      <c r="DV30" s="79">
        <v>0</v>
      </c>
      <c r="DW30" s="79">
        <v>0</v>
      </c>
      <c r="DX30" s="79">
        <v>0</v>
      </c>
      <c r="DY30" s="79">
        <v>0</v>
      </c>
      <c r="DZ30" s="79">
        <v>2</v>
      </c>
      <c r="EA30" s="79">
        <v>0</v>
      </c>
      <c r="EB30" s="79">
        <v>0</v>
      </c>
      <c r="EC30" s="79">
        <v>0</v>
      </c>
      <c r="ED30" s="79">
        <v>1</v>
      </c>
      <c r="EE30" s="79">
        <v>1</v>
      </c>
      <c r="EF30" s="79">
        <v>0</v>
      </c>
      <c r="EG30" s="79">
        <v>2</v>
      </c>
      <c r="EH30" s="79">
        <v>0</v>
      </c>
      <c r="EI30" s="79">
        <v>0</v>
      </c>
      <c r="EJ30" s="79">
        <v>1</v>
      </c>
      <c r="EK30" s="79">
        <v>0</v>
      </c>
      <c r="EL30" s="79">
        <v>6</v>
      </c>
      <c r="EM30" s="79">
        <v>8</v>
      </c>
      <c r="EN30" s="79">
        <v>4</v>
      </c>
      <c r="EO30" s="79">
        <v>2</v>
      </c>
      <c r="EP30" s="79">
        <v>11</v>
      </c>
      <c r="EQ30" s="79">
        <v>8</v>
      </c>
      <c r="ER30" s="79">
        <v>10</v>
      </c>
      <c r="ES30" s="79">
        <v>8</v>
      </c>
      <c r="ET30" s="79">
        <v>2</v>
      </c>
      <c r="EU30" s="79">
        <v>12</v>
      </c>
      <c r="EV30" s="79">
        <v>6</v>
      </c>
      <c r="EW30" s="79">
        <v>7</v>
      </c>
      <c r="EX30" s="79">
        <v>5</v>
      </c>
      <c r="EY30" s="79">
        <v>11</v>
      </c>
      <c r="EZ30" s="79">
        <v>15</v>
      </c>
      <c r="FA30" s="79">
        <v>12</v>
      </c>
      <c r="FB30" s="79">
        <v>9</v>
      </c>
      <c r="FC30" s="79">
        <v>7</v>
      </c>
      <c r="FD30" s="79">
        <v>14</v>
      </c>
      <c r="FE30" s="79">
        <v>8</v>
      </c>
      <c r="FF30" s="79">
        <v>7</v>
      </c>
      <c r="FG30" s="79">
        <v>7</v>
      </c>
      <c r="FH30" s="79">
        <v>6</v>
      </c>
      <c r="FI30" s="79">
        <v>0</v>
      </c>
      <c r="FJ30" s="79">
        <v>0</v>
      </c>
      <c r="FK30" s="79">
        <v>3</v>
      </c>
    </row>
    <row r="31" spans="1:167" ht="15.75" customHeight="1" x14ac:dyDescent="0.35">
      <c r="A31" s="80" t="s">
        <v>102</v>
      </c>
      <c r="B31" s="76"/>
      <c r="C31" s="76"/>
      <c r="D31" s="87"/>
      <c r="E31" s="78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>
        <v>3</v>
      </c>
      <c r="AW31" s="79">
        <v>2</v>
      </c>
      <c r="AX31" s="79"/>
      <c r="AY31" s="79">
        <f>VLOOKUP(A31,[4]Sheet1!$A:$B,2,FALSE)</f>
        <v>2</v>
      </c>
      <c r="AZ31" s="79">
        <f>VLOOKUP(A31,[5]Sheet1!$A:$B,2,FALSE)</f>
        <v>4</v>
      </c>
      <c r="BA31" s="79">
        <f>VLOOKUP(A31,[6]Sheet1!$A:$B,2,FALSE)</f>
        <v>1</v>
      </c>
      <c r="BB31" s="79"/>
      <c r="BC31" s="79"/>
      <c r="BD31" s="79">
        <v>1</v>
      </c>
      <c r="BE31" s="79"/>
      <c r="BF31" s="79">
        <v>2</v>
      </c>
      <c r="BG31" s="79">
        <v>1</v>
      </c>
      <c r="BH31" s="79">
        <v>1</v>
      </c>
      <c r="BI31" s="79">
        <v>2</v>
      </c>
      <c r="BJ31" s="79">
        <v>4</v>
      </c>
      <c r="BK31" s="79">
        <v>3</v>
      </c>
      <c r="BL31" s="79">
        <v>3</v>
      </c>
      <c r="BM31" s="79">
        <v>4</v>
      </c>
      <c r="BN31" s="79">
        <v>2</v>
      </c>
      <c r="BO31" s="79">
        <v>14</v>
      </c>
      <c r="BP31" s="79">
        <v>5</v>
      </c>
      <c r="BQ31" s="79">
        <v>10</v>
      </c>
      <c r="BR31" s="79">
        <v>2</v>
      </c>
      <c r="BS31" s="79">
        <v>3</v>
      </c>
      <c r="BT31" s="79">
        <v>6</v>
      </c>
      <c r="BU31" s="79">
        <v>5</v>
      </c>
      <c r="BV31" s="79">
        <v>3</v>
      </c>
      <c r="BW31" s="79">
        <v>15</v>
      </c>
      <c r="BX31" s="79">
        <v>21</v>
      </c>
      <c r="BY31" s="79">
        <v>4</v>
      </c>
      <c r="BZ31" s="79">
        <v>2</v>
      </c>
      <c r="CA31" s="79">
        <v>3</v>
      </c>
      <c r="CB31" s="79">
        <v>2</v>
      </c>
      <c r="CC31" s="79">
        <v>0</v>
      </c>
      <c r="CD31" s="79">
        <v>4</v>
      </c>
      <c r="CE31" s="79">
        <v>4</v>
      </c>
      <c r="CF31" s="79">
        <v>4</v>
      </c>
      <c r="CG31" s="79">
        <v>1</v>
      </c>
      <c r="CH31" s="79">
        <v>0</v>
      </c>
      <c r="CI31" s="79">
        <v>1</v>
      </c>
      <c r="CJ31" s="79">
        <v>0</v>
      </c>
      <c r="CK31" s="79">
        <v>0</v>
      </c>
      <c r="CL31" s="79">
        <v>2</v>
      </c>
      <c r="CM31" s="79">
        <v>2</v>
      </c>
      <c r="CN31" s="79">
        <v>0</v>
      </c>
      <c r="CO31" s="79">
        <v>1</v>
      </c>
      <c r="CP31" s="79">
        <v>1</v>
      </c>
      <c r="CQ31" s="79">
        <v>2</v>
      </c>
      <c r="CR31" s="79">
        <v>0</v>
      </c>
      <c r="CS31" s="79">
        <v>2</v>
      </c>
      <c r="CT31" s="79">
        <v>7</v>
      </c>
      <c r="CU31" s="79">
        <v>2</v>
      </c>
      <c r="CV31" s="79">
        <v>10</v>
      </c>
      <c r="CW31" s="79">
        <v>11</v>
      </c>
      <c r="CX31" s="79">
        <v>19</v>
      </c>
      <c r="CY31" s="79">
        <v>7</v>
      </c>
      <c r="CZ31" s="79">
        <v>5</v>
      </c>
      <c r="DA31" s="79">
        <v>6</v>
      </c>
      <c r="DB31" s="79">
        <v>0</v>
      </c>
      <c r="DC31" s="79">
        <v>4</v>
      </c>
      <c r="DD31" s="79">
        <v>6</v>
      </c>
      <c r="DE31" s="79">
        <v>6</v>
      </c>
      <c r="DF31" s="79">
        <v>3</v>
      </c>
      <c r="DG31" s="79">
        <v>8</v>
      </c>
      <c r="DH31" s="79">
        <v>10</v>
      </c>
      <c r="DI31" s="79">
        <v>7</v>
      </c>
      <c r="DJ31" s="79">
        <v>9</v>
      </c>
      <c r="DK31" s="79">
        <v>0</v>
      </c>
      <c r="DL31" s="79">
        <v>6</v>
      </c>
      <c r="DM31" s="79">
        <v>9</v>
      </c>
      <c r="DN31" s="79">
        <v>2</v>
      </c>
      <c r="DO31" s="79">
        <v>6</v>
      </c>
      <c r="DP31" s="79">
        <v>2</v>
      </c>
      <c r="DQ31" s="79">
        <v>5</v>
      </c>
      <c r="DR31" s="79">
        <v>6</v>
      </c>
      <c r="DS31" s="79">
        <v>2</v>
      </c>
      <c r="DT31" s="79">
        <v>8</v>
      </c>
      <c r="DU31" s="79">
        <v>7</v>
      </c>
      <c r="DV31" s="79">
        <v>10</v>
      </c>
      <c r="DW31" s="79">
        <v>6</v>
      </c>
      <c r="DX31" s="79">
        <v>2</v>
      </c>
      <c r="DY31" s="79">
        <v>5</v>
      </c>
      <c r="DZ31" s="79">
        <v>8</v>
      </c>
      <c r="EA31" s="79">
        <v>13</v>
      </c>
      <c r="EB31" s="79">
        <v>5</v>
      </c>
      <c r="EC31" s="79">
        <v>7</v>
      </c>
      <c r="ED31" s="79">
        <v>13</v>
      </c>
      <c r="EE31" s="79">
        <v>5</v>
      </c>
      <c r="EF31" s="79">
        <v>4</v>
      </c>
      <c r="EG31" s="79">
        <v>1</v>
      </c>
      <c r="EH31" s="79">
        <v>1</v>
      </c>
      <c r="EI31" s="79">
        <v>6</v>
      </c>
      <c r="EJ31" s="79">
        <v>3</v>
      </c>
      <c r="EK31" s="79">
        <v>2</v>
      </c>
      <c r="EL31" s="79">
        <v>5</v>
      </c>
      <c r="EM31" s="79">
        <v>3</v>
      </c>
      <c r="EN31" s="79">
        <v>3</v>
      </c>
      <c r="EO31" s="79">
        <v>4</v>
      </c>
      <c r="EP31" s="79">
        <v>3</v>
      </c>
      <c r="EQ31" s="79">
        <v>7</v>
      </c>
      <c r="ER31" s="79">
        <v>4</v>
      </c>
      <c r="ES31" s="79">
        <v>4</v>
      </c>
      <c r="ET31" s="79">
        <v>10</v>
      </c>
      <c r="EU31" s="79">
        <v>3</v>
      </c>
      <c r="EV31" s="79">
        <v>5</v>
      </c>
      <c r="EW31" s="79">
        <v>12</v>
      </c>
      <c r="EX31" s="79">
        <v>2</v>
      </c>
      <c r="EY31" s="79">
        <v>3</v>
      </c>
      <c r="EZ31" s="79">
        <v>5</v>
      </c>
      <c r="FA31" s="79">
        <v>2</v>
      </c>
      <c r="FB31" s="79">
        <v>1</v>
      </c>
      <c r="FC31" s="79">
        <v>4</v>
      </c>
      <c r="FD31" s="79">
        <v>5</v>
      </c>
      <c r="FE31" s="79">
        <v>3</v>
      </c>
      <c r="FF31" s="79">
        <v>2</v>
      </c>
      <c r="FG31" s="79">
        <v>5</v>
      </c>
      <c r="FH31" s="79">
        <v>3</v>
      </c>
      <c r="FI31" s="79">
        <v>4</v>
      </c>
      <c r="FJ31" s="79">
        <v>2</v>
      </c>
      <c r="FK31" s="79">
        <v>5</v>
      </c>
    </row>
    <row r="32" spans="1:167" ht="15.75" customHeight="1" x14ac:dyDescent="0.35">
      <c r="A32" s="80" t="s">
        <v>224</v>
      </c>
      <c r="B32" s="76"/>
      <c r="C32" s="76"/>
      <c r="D32" s="87"/>
      <c r="E32" s="78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79"/>
      <c r="BF32" s="79"/>
      <c r="BG32" s="79"/>
      <c r="BH32" s="79"/>
      <c r="BI32" s="79"/>
      <c r="BJ32" s="79"/>
      <c r="BK32" s="79"/>
      <c r="BL32" s="79"/>
      <c r="BM32" s="79"/>
      <c r="BN32" s="79"/>
      <c r="BO32" s="79"/>
      <c r="BP32" s="79"/>
      <c r="BQ32" s="79"/>
      <c r="BR32" s="79"/>
      <c r="BS32" s="79"/>
      <c r="BT32" s="79"/>
      <c r="BU32" s="79"/>
      <c r="BV32" s="79"/>
      <c r="BW32" s="79"/>
      <c r="BX32" s="79"/>
      <c r="BY32" s="79"/>
      <c r="BZ32" s="79"/>
      <c r="CA32" s="79"/>
      <c r="CB32" s="79"/>
      <c r="CC32" s="79"/>
      <c r="CD32" s="79"/>
      <c r="CE32" s="79"/>
      <c r="CF32" s="79"/>
      <c r="CG32" s="79"/>
      <c r="CH32" s="79"/>
      <c r="CI32" s="79"/>
      <c r="CJ32" s="79"/>
      <c r="CK32" s="79"/>
      <c r="CL32" s="79"/>
      <c r="CM32" s="79"/>
      <c r="CN32" s="79"/>
      <c r="CO32" s="79"/>
      <c r="CP32" s="79"/>
      <c r="CQ32" s="79"/>
      <c r="CR32" s="79"/>
      <c r="CS32" s="79"/>
      <c r="CT32" s="79"/>
      <c r="CU32" s="79"/>
      <c r="CV32" s="79"/>
      <c r="CW32" s="79"/>
      <c r="CX32" s="79"/>
      <c r="CY32" s="79"/>
      <c r="CZ32" s="79"/>
      <c r="DA32" s="79"/>
      <c r="DB32" s="79"/>
      <c r="DC32" s="79"/>
      <c r="DD32" s="79"/>
      <c r="DE32" s="79"/>
      <c r="DF32" s="79"/>
      <c r="DG32" s="79"/>
      <c r="DH32" s="79"/>
      <c r="DI32" s="79"/>
      <c r="DJ32" s="79"/>
      <c r="DK32" s="79"/>
      <c r="DL32" s="79"/>
      <c r="DM32" s="79"/>
      <c r="DN32" s="79"/>
      <c r="DO32" s="79"/>
      <c r="DP32" s="79"/>
      <c r="DQ32" s="79"/>
      <c r="DR32" s="79"/>
      <c r="DS32" s="79"/>
      <c r="DT32" s="79"/>
      <c r="DU32" s="79"/>
      <c r="DV32" s="79"/>
      <c r="DW32" s="79"/>
      <c r="DX32" s="79"/>
      <c r="DY32" s="79"/>
      <c r="DZ32" s="79"/>
      <c r="EA32" s="79"/>
      <c r="EB32" s="79"/>
      <c r="EC32" s="79"/>
      <c r="ED32" s="79"/>
      <c r="EE32" s="79"/>
      <c r="EF32" s="79"/>
      <c r="EG32" s="79"/>
      <c r="EH32" s="79"/>
      <c r="EI32" s="79"/>
      <c r="EJ32" s="79"/>
      <c r="EK32" s="79"/>
      <c r="EL32" s="79"/>
      <c r="EM32" s="79"/>
      <c r="EN32" s="79"/>
      <c r="EO32" s="79"/>
      <c r="EP32" s="79"/>
      <c r="EQ32" s="79"/>
      <c r="ER32" s="79"/>
      <c r="ES32" s="79">
        <v>0</v>
      </c>
      <c r="ET32" s="79">
        <v>0</v>
      </c>
      <c r="EU32" s="79">
        <v>0</v>
      </c>
      <c r="EV32" s="79">
        <v>0</v>
      </c>
      <c r="EW32" s="79">
        <v>0</v>
      </c>
      <c r="EX32" s="79">
        <v>0</v>
      </c>
      <c r="EY32" s="79">
        <v>0</v>
      </c>
      <c r="EZ32" s="79">
        <v>1</v>
      </c>
      <c r="FA32" s="79">
        <v>0</v>
      </c>
      <c r="FB32" s="79">
        <v>0</v>
      </c>
      <c r="FC32" s="79">
        <v>0</v>
      </c>
      <c r="FD32" s="79">
        <v>0</v>
      </c>
      <c r="FE32" s="79">
        <v>0</v>
      </c>
      <c r="FF32" s="79">
        <v>0</v>
      </c>
      <c r="FG32" s="79">
        <v>0</v>
      </c>
      <c r="FH32" s="79">
        <v>0</v>
      </c>
      <c r="FI32" s="79">
        <v>0</v>
      </c>
      <c r="FJ32" s="79">
        <v>0</v>
      </c>
      <c r="FK32" s="79">
        <v>0</v>
      </c>
    </row>
    <row r="33" spans="1:167" ht="15.75" customHeight="1" x14ac:dyDescent="0.35">
      <c r="A33" s="80" t="s">
        <v>225</v>
      </c>
      <c r="B33" s="76"/>
      <c r="C33" s="76"/>
      <c r="D33" s="87"/>
      <c r="E33" s="78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79"/>
      <c r="BF33" s="79"/>
      <c r="BG33" s="79"/>
      <c r="BH33" s="79"/>
      <c r="BI33" s="79"/>
      <c r="BJ33" s="79"/>
      <c r="BK33" s="79"/>
      <c r="BL33" s="79"/>
      <c r="BM33" s="79"/>
      <c r="BN33" s="79"/>
      <c r="BO33" s="79"/>
      <c r="BP33" s="79"/>
      <c r="BQ33" s="79"/>
      <c r="BR33" s="79"/>
      <c r="BS33" s="79"/>
      <c r="BT33" s="79"/>
      <c r="BU33" s="79"/>
      <c r="BV33" s="79"/>
      <c r="BW33" s="79"/>
      <c r="BX33" s="79"/>
      <c r="BY33" s="79"/>
      <c r="BZ33" s="79"/>
      <c r="CA33" s="79"/>
      <c r="CB33" s="79"/>
      <c r="CC33" s="79"/>
      <c r="CD33" s="79"/>
      <c r="CE33" s="79"/>
      <c r="CF33" s="79"/>
      <c r="CG33" s="79"/>
      <c r="CH33" s="79"/>
      <c r="CI33" s="79"/>
      <c r="CJ33" s="79"/>
      <c r="CK33" s="79"/>
      <c r="CL33" s="79"/>
      <c r="CM33" s="79"/>
      <c r="CN33" s="79"/>
      <c r="CO33" s="79"/>
      <c r="CP33" s="79"/>
      <c r="CQ33" s="79"/>
      <c r="CR33" s="79"/>
      <c r="CS33" s="79"/>
      <c r="CT33" s="79"/>
      <c r="CU33" s="79"/>
      <c r="CV33" s="79"/>
      <c r="CW33" s="79"/>
      <c r="CX33" s="79"/>
      <c r="CY33" s="79"/>
      <c r="CZ33" s="79"/>
      <c r="DA33" s="79"/>
      <c r="DB33" s="79"/>
      <c r="DC33" s="79"/>
      <c r="DD33" s="79"/>
      <c r="DE33" s="79"/>
      <c r="DF33" s="79"/>
      <c r="DG33" s="79"/>
      <c r="DH33" s="79"/>
      <c r="DI33" s="79"/>
      <c r="DJ33" s="79"/>
      <c r="DK33" s="79"/>
      <c r="DL33" s="79"/>
      <c r="DM33" s="79"/>
      <c r="DN33" s="79"/>
      <c r="DO33" s="79"/>
      <c r="DP33" s="79"/>
      <c r="DQ33" s="79"/>
      <c r="DR33" s="79"/>
      <c r="DS33" s="79"/>
      <c r="DT33" s="79"/>
      <c r="DU33" s="79"/>
      <c r="DV33" s="79"/>
      <c r="DW33" s="79"/>
      <c r="DX33" s="79"/>
      <c r="DY33" s="79"/>
      <c r="DZ33" s="79"/>
      <c r="EA33" s="79"/>
      <c r="EB33" s="79"/>
      <c r="EC33" s="79"/>
      <c r="ED33" s="79"/>
      <c r="EE33" s="79"/>
      <c r="EF33" s="79"/>
      <c r="EG33" s="79"/>
      <c r="EH33" s="79"/>
      <c r="EI33" s="79"/>
      <c r="EJ33" s="79"/>
      <c r="EK33" s="79"/>
      <c r="EL33" s="79"/>
      <c r="EM33" s="79"/>
      <c r="EN33" s="79"/>
      <c r="EO33" s="79"/>
      <c r="EP33" s="79"/>
      <c r="EQ33" s="79"/>
      <c r="ER33" s="79"/>
      <c r="ES33" s="79"/>
      <c r="ET33" s="79"/>
      <c r="EU33" s="79">
        <v>0</v>
      </c>
      <c r="EV33" s="79">
        <v>0</v>
      </c>
      <c r="EW33" s="79">
        <v>0</v>
      </c>
      <c r="EX33" s="79">
        <v>0</v>
      </c>
      <c r="EY33" s="79">
        <v>0</v>
      </c>
      <c r="EZ33" s="79">
        <v>1</v>
      </c>
      <c r="FA33" s="79">
        <v>0</v>
      </c>
      <c r="FB33" s="79">
        <v>0</v>
      </c>
      <c r="FC33" s="79">
        <v>0</v>
      </c>
      <c r="FD33" s="79">
        <v>0</v>
      </c>
      <c r="FE33" s="79">
        <v>0</v>
      </c>
      <c r="FF33" s="79">
        <v>0</v>
      </c>
      <c r="FG33" s="79">
        <v>0</v>
      </c>
      <c r="FH33" s="79">
        <v>0</v>
      </c>
      <c r="FI33" s="79">
        <v>0</v>
      </c>
      <c r="FJ33" s="79">
        <v>0</v>
      </c>
      <c r="FK33" s="79">
        <v>0</v>
      </c>
    </row>
    <row r="34" spans="1:167" ht="15.75" customHeight="1" x14ac:dyDescent="0.35">
      <c r="A34" s="88" t="s">
        <v>101</v>
      </c>
      <c r="B34" s="76">
        <v>5</v>
      </c>
      <c r="C34" s="76">
        <v>6</v>
      </c>
      <c r="D34" s="87">
        <v>8</v>
      </c>
      <c r="E34" s="78">
        <v>5</v>
      </c>
      <c r="F34" s="79">
        <v>5</v>
      </c>
      <c r="G34" s="79">
        <v>5</v>
      </c>
      <c r="H34" s="79">
        <v>9</v>
      </c>
      <c r="I34" s="79">
        <v>6</v>
      </c>
      <c r="J34" s="79">
        <v>4</v>
      </c>
      <c r="K34" s="79">
        <v>4</v>
      </c>
      <c r="L34" s="79">
        <v>1</v>
      </c>
      <c r="M34" s="79">
        <v>6</v>
      </c>
      <c r="N34" s="79">
        <v>5</v>
      </c>
      <c r="O34" s="79">
        <v>4</v>
      </c>
      <c r="P34" s="79">
        <v>2</v>
      </c>
      <c r="Q34" s="79">
        <v>3</v>
      </c>
      <c r="R34" s="79">
        <v>7</v>
      </c>
      <c r="S34" s="79">
        <v>4</v>
      </c>
      <c r="T34" s="79">
        <v>7</v>
      </c>
      <c r="U34" s="79">
        <v>2</v>
      </c>
      <c r="V34" s="79">
        <v>5</v>
      </c>
      <c r="W34" s="79">
        <v>7</v>
      </c>
      <c r="X34" s="79">
        <v>4</v>
      </c>
      <c r="Y34" s="79">
        <v>7</v>
      </c>
      <c r="Z34" s="79">
        <v>5</v>
      </c>
      <c r="AA34" s="79">
        <v>5</v>
      </c>
      <c r="AB34" s="79"/>
      <c r="AC34" s="79">
        <v>5</v>
      </c>
      <c r="AD34" s="79">
        <v>7</v>
      </c>
      <c r="AE34" s="79">
        <v>6</v>
      </c>
      <c r="AF34" s="79">
        <v>8</v>
      </c>
      <c r="AG34" s="79">
        <v>11</v>
      </c>
      <c r="AH34" s="79">
        <v>8</v>
      </c>
      <c r="AI34" s="79">
        <v>7</v>
      </c>
      <c r="AJ34" s="79">
        <v>1</v>
      </c>
      <c r="AK34" s="79">
        <v>4</v>
      </c>
      <c r="AL34" s="79">
        <v>4</v>
      </c>
      <c r="AM34" s="79">
        <v>12</v>
      </c>
      <c r="AN34" s="79">
        <f>VLOOKUP(A34,[7]Sheet1!$A:$B,2,FALSE)</f>
        <v>4</v>
      </c>
      <c r="AO34" s="79">
        <v>5</v>
      </c>
      <c r="AP34" s="79">
        <v>9</v>
      </c>
      <c r="AQ34" s="79">
        <v>12</v>
      </c>
      <c r="AR34" s="79">
        <v>8</v>
      </c>
      <c r="AS34" s="79">
        <v>3</v>
      </c>
      <c r="AT34" s="79">
        <v>10</v>
      </c>
      <c r="AU34" s="79">
        <v>5</v>
      </c>
      <c r="AV34" s="79">
        <v>28</v>
      </c>
      <c r="AW34" s="79">
        <v>11</v>
      </c>
      <c r="AX34" s="79"/>
      <c r="AY34" s="79">
        <f>VLOOKUP(A34,[4]Sheet1!$A:$B,2,FALSE)</f>
        <v>11</v>
      </c>
      <c r="AZ34" s="79">
        <f>VLOOKUP(A34,[5]Sheet1!$A:$B,2,FALSE)</f>
        <v>5</v>
      </c>
      <c r="BA34" s="79">
        <f>VLOOKUP(A34,[6]Sheet1!$A:$B,2,FALSE)</f>
        <v>8</v>
      </c>
      <c r="BB34" s="79">
        <v>7</v>
      </c>
      <c r="BC34" s="79">
        <v>8</v>
      </c>
      <c r="BD34" s="79">
        <v>9</v>
      </c>
      <c r="BE34" s="79">
        <v>7</v>
      </c>
      <c r="BF34" s="79">
        <v>7</v>
      </c>
      <c r="BG34" s="79">
        <v>10</v>
      </c>
      <c r="BH34" s="79">
        <v>9</v>
      </c>
      <c r="BI34" s="79">
        <v>6</v>
      </c>
      <c r="BJ34" s="79">
        <v>7</v>
      </c>
      <c r="BK34" s="79">
        <v>5</v>
      </c>
      <c r="BL34" s="79">
        <v>10</v>
      </c>
      <c r="BM34" s="79">
        <v>14</v>
      </c>
      <c r="BN34" s="79">
        <v>11</v>
      </c>
      <c r="BO34" s="79">
        <v>21</v>
      </c>
      <c r="BP34" s="79">
        <v>7</v>
      </c>
      <c r="BQ34" s="79">
        <v>1</v>
      </c>
      <c r="BR34" s="79">
        <v>7</v>
      </c>
      <c r="BS34" s="79">
        <v>3</v>
      </c>
      <c r="BT34" s="79">
        <v>8</v>
      </c>
      <c r="BU34" s="79">
        <v>5</v>
      </c>
      <c r="BV34" s="79">
        <v>4</v>
      </c>
      <c r="BW34" s="79">
        <v>4</v>
      </c>
      <c r="BX34" s="79">
        <v>4</v>
      </c>
      <c r="BY34" s="79">
        <v>8</v>
      </c>
      <c r="BZ34" s="79">
        <v>2</v>
      </c>
      <c r="CA34" s="79">
        <v>12</v>
      </c>
      <c r="CB34" s="79">
        <v>4</v>
      </c>
      <c r="CC34" s="79">
        <v>6</v>
      </c>
      <c r="CD34" s="79">
        <v>6</v>
      </c>
      <c r="CE34" s="79">
        <v>2</v>
      </c>
      <c r="CF34" s="79">
        <v>1</v>
      </c>
      <c r="CG34" s="79">
        <v>3</v>
      </c>
      <c r="CH34" s="79">
        <v>4</v>
      </c>
      <c r="CI34" s="79">
        <v>3</v>
      </c>
      <c r="CJ34" s="79">
        <v>3</v>
      </c>
      <c r="CK34" s="79">
        <v>1</v>
      </c>
      <c r="CL34" s="79">
        <v>13</v>
      </c>
      <c r="CM34" s="79">
        <v>4</v>
      </c>
      <c r="CN34" s="79">
        <v>4</v>
      </c>
      <c r="CO34" s="79">
        <v>5</v>
      </c>
      <c r="CP34" s="79">
        <v>2</v>
      </c>
      <c r="CQ34" s="79">
        <v>6</v>
      </c>
      <c r="CR34" s="79">
        <v>9</v>
      </c>
      <c r="CS34" s="79">
        <v>4</v>
      </c>
      <c r="CT34" s="79">
        <v>6</v>
      </c>
      <c r="CU34" s="79">
        <v>9</v>
      </c>
      <c r="CV34" s="79">
        <v>9</v>
      </c>
      <c r="CW34" s="79">
        <v>3</v>
      </c>
      <c r="CX34" s="79">
        <v>5</v>
      </c>
      <c r="CY34" s="79">
        <v>8</v>
      </c>
      <c r="CZ34" s="79">
        <v>6</v>
      </c>
      <c r="DA34" s="79">
        <v>5</v>
      </c>
      <c r="DB34" s="79">
        <v>1</v>
      </c>
      <c r="DC34" s="79">
        <v>5</v>
      </c>
      <c r="DD34" s="79">
        <v>5</v>
      </c>
      <c r="DE34" s="79">
        <v>2</v>
      </c>
      <c r="DF34" s="79">
        <v>2</v>
      </c>
      <c r="DG34" s="79">
        <v>5</v>
      </c>
      <c r="DH34" s="79">
        <v>4</v>
      </c>
      <c r="DI34" s="79">
        <v>5</v>
      </c>
      <c r="DJ34" s="79">
        <v>3</v>
      </c>
      <c r="DK34" s="79">
        <v>0</v>
      </c>
      <c r="DL34" s="79">
        <v>2</v>
      </c>
      <c r="DM34" s="79">
        <v>0</v>
      </c>
      <c r="DN34" s="79">
        <v>1</v>
      </c>
      <c r="DO34" s="79">
        <v>2</v>
      </c>
      <c r="DP34" s="79">
        <v>3</v>
      </c>
      <c r="DQ34" s="79">
        <v>0</v>
      </c>
      <c r="DR34" s="79">
        <v>1</v>
      </c>
      <c r="DS34" s="79">
        <v>1</v>
      </c>
      <c r="DT34" s="79">
        <v>2</v>
      </c>
      <c r="DU34" s="79">
        <v>2</v>
      </c>
      <c r="DV34" s="79">
        <v>4</v>
      </c>
      <c r="DW34" s="79">
        <v>0</v>
      </c>
      <c r="DX34" s="79">
        <v>0</v>
      </c>
      <c r="DY34" s="79">
        <v>1</v>
      </c>
      <c r="DZ34" s="79">
        <v>0</v>
      </c>
      <c r="EA34" s="79">
        <v>2</v>
      </c>
      <c r="EB34" s="79">
        <v>0</v>
      </c>
      <c r="EC34" s="79">
        <v>0</v>
      </c>
      <c r="ED34" s="79">
        <v>0</v>
      </c>
      <c r="EE34" s="79">
        <v>1</v>
      </c>
      <c r="EF34" s="79">
        <v>0</v>
      </c>
      <c r="EG34" s="79">
        <v>2</v>
      </c>
      <c r="EH34" s="79">
        <v>0</v>
      </c>
      <c r="EI34" s="79">
        <v>1</v>
      </c>
      <c r="EJ34" s="79">
        <v>1</v>
      </c>
      <c r="EK34" s="79">
        <v>0</v>
      </c>
      <c r="EL34" s="79">
        <v>0</v>
      </c>
      <c r="EM34" s="79">
        <v>0</v>
      </c>
      <c r="EN34" s="79">
        <v>0</v>
      </c>
      <c r="EO34" s="79">
        <v>0</v>
      </c>
      <c r="EP34" s="79">
        <v>3</v>
      </c>
      <c r="EQ34" s="79">
        <v>0</v>
      </c>
      <c r="ER34" s="79">
        <v>0</v>
      </c>
      <c r="ES34" s="79">
        <v>0</v>
      </c>
      <c r="ET34" s="79">
        <v>1</v>
      </c>
      <c r="EU34" s="79">
        <v>1</v>
      </c>
      <c r="EV34" s="79">
        <v>1</v>
      </c>
      <c r="EW34" s="79">
        <v>0</v>
      </c>
      <c r="EX34" s="79">
        <v>0</v>
      </c>
      <c r="EY34" s="79">
        <v>0</v>
      </c>
      <c r="EZ34" s="79">
        <v>2</v>
      </c>
      <c r="FA34" s="79">
        <v>0</v>
      </c>
      <c r="FB34" s="79">
        <v>1</v>
      </c>
      <c r="FC34" s="79">
        <v>0</v>
      </c>
      <c r="FD34" s="79">
        <v>2</v>
      </c>
      <c r="FE34" s="79">
        <v>1</v>
      </c>
      <c r="FF34" s="79">
        <v>0</v>
      </c>
      <c r="FG34" s="79">
        <v>0</v>
      </c>
      <c r="FH34" s="79">
        <v>2</v>
      </c>
      <c r="FI34" s="79">
        <v>0</v>
      </c>
      <c r="FJ34" s="79">
        <v>0</v>
      </c>
      <c r="FK34" s="79">
        <v>0</v>
      </c>
    </row>
    <row r="35" spans="1:167" ht="15.75" customHeight="1" x14ac:dyDescent="0.35">
      <c r="A35" s="81" t="s">
        <v>43</v>
      </c>
      <c r="B35" s="82">
        <f t="shared" ref="B35:AS35" si="3">SUM(B13:B27)</f>
        <v>40</v>
      </c>
      <c r="C35" s="82">
        <f t="shared" si="3"/>
        <v>26</v>
      </c>
      <c r="D35" s="82">
        <f t="shared" si="3"/>
        <v>51</v>
      </c>
      <c r="E35" s="82">
        <f t="shared" si="3"/>
        <v>59</v>
      </c>
      <c r="F35" s="82">
        <f t="shared" si="3"/>
        <v>70</v>
      </c>
      <c r="G35" s="82">
        <f t="shared" si="3"/>
        <v>68</v>
      </c>
      <c r="H35" s="82">
        <f t="shared" si="3"/>
        <v>45</v>
      </c>
      <c r="I35" s="82">
        <f t="shared" si="3"/>
        <v>50</v>
      </c>
      <c r="J35" s="84">
        <f t="shared" si="3"/>
        <v>30</v>
      </c>
      <c r="K35" s="84">
        <f t="shared" si="3"/>
        <v>32</v>
      </c>
      <c r="L35" s="84">
        <f t="shared" si="3"/>
        <v>29</v>
      </c>
      <c r="M35" s="84">
        <f t="shared" si="3"/>
        <v>21</v>
      </c>
      <c r="N35" s="84">
        <f t="shared" si="3"/>
        <v>29</v>
      </c>
      <c r="O35" s="84">
        <f t="shared" si="3"/>
        <v>44</v>
      </c>
      <c r="P35" s="84">
        <f t="shared" si="3"/>
        <v>37</v>
      </c>
      <c r="Q35" s="84">
        <f t="shared" si="3"/>
        <v>25</v>
      </c>
      <c r="R35" s="84">
        <f t="shared" si="3"/>
        <v>27</v>
      </c>
      <c r="S35" s="84">
        <f t="shared" si="3"/>
        <v>44</v>
      </c>
      <c r="T35" s="84">
        <f t="shared" si="3"/>
        <v>101</v>
      </c>
      <c r="U35" s="84">
        <f t="shared" si="3"/>
        <v>93</v>
      </c>
      <c r="V35" s="84">
        <f t="shared" si="3"/>
        <v>35</v>
      </c>
      <c r="W35" s="84">
        <f t="shared" si="3"/>
        <v>83</v>
      </c>
      <c r="X35" s="84">
        <f t="shared" si="3"/>
        <v>99</v>
      </c>
      <c r="Y35" s="84">
        <f t="shared" si="3"/>
        <v>113</v>
      </c>
      <c r="Z35" s="84">
        <f t="shared" si="3"/>
        <v>184</v>
      </c>
      <c r="AA35" s="84">
        <f t="shared" si="3"/>
        <v>255</v>
      </c>
      <c r="AB35" s="84">
        <f t="shared" si="3"/>
        <v>96</v>
      </c>
      <c r="AC35" s="84">
        <f t="shared" si="3"/>
        <v>128</v>
      </c>
      <c r="AD35" s="84">
        <f t="shared" si="3"/>
        <v>127</v>
      </c>
      <c r="AE35" s="84">
        <f t="shared" si="3"/>
        <v>98</v>
      </c>
      <c r="AF35" s="84">
        <f t="shared" si="3"/>
        <v>114</v>
      </c>
      <c r="AG35" s="84">
        <f t="shared" si="3"/>
        <v>112</v>
      </c>
      <c r="AH35" s="84">
        <f t="shared" si="3"/>
        <v>127</v>
      </c>
      <c r="AI35" s="84">
        <f t="shared" si="3"/>
        <v>94</v>
      </c>
      <c r="AJ35" s="84">
        <f t="shared" si="3"/>
        <v>154</v>
      </c>
      <c r="AK35" s="84">
        <f t="shared" si="3"/>
        <v>136</v>
      </c>
      <c r="AL35" s="84">
        <f t="shared" si="3"/>
        <v>258</v>
      </c>
      <c r="AM35" s="84">
        <f t="shared" si="3"/>
        <v>285</v>
      </c>
      <c r="AN35" s="84">
        <f t="shared" si="3"/>
        <v>215</v>
      </c>
      <c r="AO35" s="84">
        <f t="shared" si="3"/>
        <v>173</v>
      </c>
      <c r="AP35" s="84">
        <f t="shared" si="3"/>
        <v>161</v>
      </c>
      <c r="AQ35" s="84">
        <f t="shared" si="3"/>
        <v>128</v>
      </c>
      <c r="AR35" s="84">
        <f t="shared" si="3"/>
        <v>153</v>
      </c>
      <c r="AS35" s="84">
        <f t="shared" si="3"/>
        <v>156</v>
      </c>
      <c r="AT35" s="84">
        <f t="shared" ref="AT35:BA35" si="4">SUM(AT21:AT34)</f>
        <v>38</v>
      </c>
      <c r="AU35" s="84">
        <f t="shared" si="4"/>
        <v>16</v>
      </c>
      <c r="AV35" s="84">
        <f t="shared" si="4"/>
        <v>65</v>
      </c>
      <c r="AW35" s="84">
        <f t="shared" si="4"/>
        <v>41</v>
      </c>
      <c r="AX35" s="84">
        <f t="shared" si="4"/>
        <v>0</v>
      </c>
      <c r="AY35" s="84">
        <f t="shared" si="4"/>
        <v>35</v>
      </c>
      <c r="AZ35" s="84">
        <f t="shared" si="4"/>
        <v>29</v>
      </c>
      <c r="BA35" s="84">
        <f t="shared" si="4"/>
        <v>26</v>
      </c>
      <c r="BB35" s="84">
        <v>20</v>
      </c>
      <c r="BC35" s="84">
        <v>36</v>
      </c>
      <c r="BD35" s="84">
        <v>36</v>
      </c>
      <c r="BE35" s="84">
        <v>38</v>
      </c>
      <c r="BF35" s="84">
        <v>27</v>
      </c>
      <c r="BG35" s="84">
        <v>43</v>
      </c>
      <c r="BH35" s="84">
        <v>36</v>
      </c>
      <c r="BI35" s="84">
        <v>38</v>
      </c>
      <c r="BJ35" s="84">
        <f>SUM(BJ21:BJ34)</f>
        <v>22</v>
      </c>
      <c r="BK35" s="84">
        <f>SUM(BK21:BK34)</f>
        <v>24</v>
      </c>
      <c r="BL35" s="84">
        <f>SUM(BL21:BL34)</f>
        <v>31</v>
      </c>
      <c r="BM35" s="84">
        <f>SUM(BM21:BM34)</f>
        <v>41</v>
      </c>
      <c r="BN35" s="84">
        <v>31</v>
      </c>
      <c r="BO35" s="84">
        <f>SUM(BO21:BO34)</f>
        <v>52</v>
      </c>
      <c r="BP35" s="84">
        <v>40</v>
      </c>
      <c r="BQ35" s="84">
        <v>36</v>
      </c>
      <c r="BR35" s="84">
        <v>44</v>
      </c>
      <c r="BS35" s="84">
        <v>29</v>
      </c>
      <c r="BT35" s="84">
        <v>50</v>
      </c>
      <c r="BU35" s="84">
        <v>47</v>
      </c>
      <c r="BV35" s="84">
        <v>36</v>
      </c>
      <c r="BW35" s="84">
        <v>46</v>
      </c>
      <c r="BX35" s="84">
        <v>44</v>
      </c>
      <c r="BY35" s="84">
        <v>46</v>
      </c>
      <c r="BZ35" s="84">
        <v>46</v>
      </c>
      <c r="CA35" s="84">
        <v>39</v>
      </c>
      <c r="CB35" s="84">
        <v>23</v>
      </c>
      <c r="CC35" s="84">
        <v>29</v>
      </c>
      <c r="CD35" s="84">
        <v>40</v>
      </c>
      <c r="CE35" s="84">
        <v>26</v>
      </c>
      <c r="CF35" s="84">
        <v>26</v>
      </c>
      <c r="CG35" s="84">
        <v>21</v>
      </c>
      <c r="CH35" s="84">
        <v>42</v>
      </c>
      <c r="CI35" s="84">
        <v>24</v>
      </c>
      <c r="CJ35" s="84">
        <v>58</v>
      </c>
      <c r="CK35" s="84">
        <v>12</v>
      </c>
      <c r="CL35" s="84">
        <v>73</v>
      </c>
      <c r="CM35" s="84">
        <v>28</v>
      </c>
      <c r="CN35" s="84">
        <v>70</v>
      </c>
      <c r="CO35" s="84">
        <v>74</v>
      </c>
      <c r="CP35" s="84">
        <v>19</v>
      </c>
      <c r="CQ35" s="84">
        <v>49</v>
      </c>
      <c r="CR35" s="84">
        <v>48</v>
      </c>
      <c r="CS35" s="84">
        <v>49</v>
      </c>
      <c r="CT35" s="84">
        <v>24</v>
      </c>
      <c r="CU35" s="84">
        <v>43</v>
      </c>
      <c r="CV35" s="84">
        <v>45</v>
      </c>
      <c r="CW35" s="84">
        <v>57</v>
      </c>
      <c r="CX35" s="84">
        <v>64</v>
      </c>
      <c r="CY35" s="84">
        <v>55</v>
      </c>
      <c r="CZ35" s="84">
        <v>27</v>
      </c>
      <c r="DA35" s="84">
        <v>25</v>
      </c>
      <c r="DB35" s="84">
        <v>9</v>
      </c>
      <c r="DC35" s="84">
        <v>37</v>
      </c>
      <c r="DD35" s="84">
        <v>37</v>
      </c>
      <c r="DE35" s="84">
        <v>38</v>
      </c>
      <c r="DF35" s="84">
        <v>44</v>
      </c>
      <c r="DG35" s="84">
        <v>31</v>
      </c>
      <c r="DH35" s="84">
        <v>60</v>
      </c>
      <c r="DI35" s="84">
        <v>42</v>
      </c>
      <c r="DJ35" s="84">
        <v>64</v>
      </c>
      <c r="DK35" s="84">
        <v>28</v>
      </c>
      <c r="DL35" s="84">
        <v>38</v>
      </c>
      <c r="DM35" s="84">
        <v>42</v>
      </c>
      <c r="DN35" s="84">
        <v>58</v>
      </c>
      <c r="DO35" s="84">
        <v>65</v>
      </c>
      <c r="DP35" s="84">
        <v>51</v>
      </c>
      <c r="DQ35" s="84">
        <v>163</v>
      </c>
      <c r="DR35" s="84">
        <v>62</v>
      </c>
      <c r="DS35" s="84">
        <v>55</v>
      </c>
      <c r="DT35" s="84">
        <v>54</v>
      </c>
      <c r="DU35" s="84">
        <v>59</v>
      </c>
      <c r="DV35" s="84">
        <v>50</v>
      </c>
      <c r="DW35" s="84">
        <v>47</v>
      </c>
      <c r="DX35" s="84">
        <v>44</v>
      </c>
      <c r="DY35" s="84">
        <v>48</v>
      </c>
      <c r="DZ35" s="84">
        <v>57</v>
      </c>
      <c r="EA35" s="84">
        <v>62</v>
      </c>
      <c r="EB35" s="84">
        <v>44</v>
      </c>
      <c r="EC35" s="84">
        <v>45</v>
      </c>
      <c r="ED35" s="84">
        <v>73</v>
      </c>
      <c r="EE35" s="84">
        <v>46</v>
      </c>
      <c r="EF35" s="84">
        <v>44</v>
      </c>
      <c r="EG35" s="84">
        <v>34</v>
      </c>
      <c r="EH35" s="84">
        <v>55</v>
      </c>
      <c r="EI35" s="84">
        <v>51</v>
      </c>
      <c r="EJ35" s="84">
        <v>15</v>
      </c>
      <c r="EK35" s="84">
        <v>24</v>
      </c>
      <c r="EL35" s="84">
        <v>44</v>
      </c>
      <c r="EM35" s="84">
        <v>39</v>
      </c>
      <c r="EN35" s="84">
        <v>47</v>
      </c>
      <c r="EO35" s="84">
        <v>47</v>
      </c>
      <c r="EP35" s="84">
        <v>62</v>
      </c>
      <c r="EQ35" s="84">
        <v>56</v>
      </c>
      <c r="ER35" s="84">
        <v>86</v>
      </c>
      <c r="ES35" s="84">
        <v>55</v>
      </c>
      <c r="ET35" s="84">
        <v>69</v>
      </c>
      <c r="EU35" s="84">
        <v>56</v>
      </c>
      <c r="EV35" s="84">
        <v>53</v>
      </c>
      <c r="EW35" s="84">
        <v>40</v>
      </c>
      <c r="EX35" s="84">
        <v>41</v>
      </c>
      <c r="EY35" s="84">
        <v>44</v>
      </c>
      <c r="EZ35" s="84">
        <v>65</v>
      </c>
      <c r="FA35" s="84">
        <v>74</v>
      </c>
      <c r="FB35" s="84">
        <v>36</v>
      </c>
      <c r="FC35" s="84">
        <v>63</v>
      </c>
      <c r="FD35" s="84">
        <v>63</v>
      </c>
      <c r="FE35" s="84">
        <v>61</v>
      </c>
      <c r="FF35" s="84">
        <v>43</v>
      </c>
      <c r="FG35" s="84">
        <v>47</v>
      </c>
      <c r="FH35" s="84">
        <v>79</v>
      </c>
      <c r="FI35" s="84">
        <f>SUM(FI21:FI34)</f>
        <v>70</v>
      </c>
      <c r="FJ35" s="84">
        <f>SUM(FJ21:FJ34)</f>
        <v>63</v>
      </c>
      <c r="FK35" s="84">
        <v>40</v>
      </c>
    </row>
    <row r="38" spans="1:167" ht="15.75" customHeight="1" x14ac:dyDescent="0.35">
      <c r="A38" s="73" t="s">
        <v>206</v>
      </c>
      <c r="B38" s="73" t="s">
        <v>46</v>
      </c>
      <c r="C38" s="73" t="s">
        <v>47</v>
      </c>
      <c r="D38" s="73" t="s">
        <v>48</v>
      </c>
      <c r="E38" s="73" t="s">
        <v>49</v>
      </c>
      <c r="F38" s="73" t="s">
        <v>50</v>
      </c>
      <c r="G38" s="73" t="s">
        <v>51</v>
      </c>
      <c r="H38" s="73" t="s">
        <v>52</v>
      </c>
      <c r="I38" s="73" t="s">
        <v>53</v>
      </c>
      <c r="J38" s="73" t="s">
        <v>54</v>
      </c>
      <c r="K38" s="74" t="s">
        <v>55</v>
      </c>
      <c r="L38" s="74" t="s">
        <v>56</v>
      </c>
      <c r="M38" s="74" t="s">
        <v>57</v>
      </c>
      <c r="N38" s="74" t="s">
        <v>58</v>
      </c>
      <c r="O38" s="74" t="s">
        <v>59</v>
      </c>
      <c r="P38" s="74" t="s">
        <v>60</v>
      </c>
      <c r="Q38" s="74" t="s">
        <v>61</v>
      </c>
      <c r="R38" s="74" t="s">
        <v>62</v>
      </c>
      <c r="S38" s="74" t="s">
        <v>63</v>
      </c>
      <c r="T38" s="74" t="s">
        <v>64</v>
      </c>
      <c r="U38" s="74" t="s">
        <v>65</v>
      </c>
      <c r="V38" s="74" t="s">
        <v>66</v>
      </c>
      <c r="W38" s="74" t="s">
        <v>67</v>
      </c>
      <c r="X38" s="74" t="s">
        <v>68</v>
      </c>
      <c r="Y38" s="74" t="s">
        <v>69</v>
      </c>
      <c r="Z38" s="74" t="s">
        <v>70</v>
      </c>
      <c r="AA38" s="74" t="s">
        <v>71</v>
      </c>
      <c r="AB38" s="74" t="s">
        <v>72</v>
      </c>
      <c r="AC38" s="74" t="s">
        <v>73</v>
      </c>
      <c r="AD38" s="74" t="s">
        <v>74</v>
      </c>
      <c r="AE38" s="74" t="s">
        <v>75</v>
      </c>
      <c r="AF38" s="74" t="s">
        <v>76</v>
      </c>
      <c r="AG38" s="74" t="s">
        <v>77</v>
      </c>
      <c r="AH38" s="74" t="s">
        <v>78</v>
      </c>
      <c r="AI38" s="74" t="s">
        <v>79</v>
      </c>
      <c r="AJ38" s="74" t="s">
        <v>80</v>
      </c>
      <c r="AK38" s="74" t="s">
        <v>81</v>
      </c>
      <c r="AL38" s="74" t="s">
        <v>82</v>
      </c>
      <c r="AM38" s="74" t="s">
        <v>83</v>
      </c>
      <c r="AN38" s="74" t="s">
        <v>84</v>
      </c>
      <c r="AO38" s="74" t="s">
        <v>85</v>
      </c>
      <c r="AP38" s="74" t="s">
        <v>86</v>
      </c>
      <c r="AQ38" s="74" t="s">
        <v>87</v>
      </c>
      <c r="AR38" s="74" t="s">
        <v>88</v>
      </c>
      <c r="AS38" s="74" t="s">
        <v>89</v>
      </c>
      <c r="AT38" s="74" t="s">
        <v>90</v>
      </c>
      <c r="AU38" s="74" t="s">
        <v>91</v>
      </c>
      <c r="AV38" s="74" t="s">
        <v>92</v>
      </c>
      <c r="AW38" s="74" t="s">
        <v>93</v>
      </c>
      <c r="AX38" s="74" t="s">
        <v>94</v>
      </c>
      <c r="AY38" s="74" t="s">
        <v>95</v>
      </c>
      <c r="AZ38" s="74" t="s">
        <v>96</v>
      </c>
      <c r="BA38" s="74" t="s">
        <v>97</v>
      </c>
      <c r="BB38" s="74" t="s">
        <v>46</v>
      </c>
      <c r="BC38" s="74" t="s">
        <v>47</v>
      </c>
      <c r="BD38" s="74" t="s">
        <v>48</v>
      </c>
      <c r="BE38" s="74" t="s">
        <v>49</v>
      </c>
      <c r="BF38" s="74" t="s">
        <v>50</v>
      </c>
      <c r="BG38" s="74" t="s">
        <v>51</v>
      </c>
      <c r="BH38" s="74" t="s">
        <v>52</v>
      </c>
      <c r="BI38" s="74" t="s">
        <v>53</v>
      </c>
      <c r="BJ38" s="74" t="s">
        <v>54</v>
      </c>
      <c r="BK38" s="74" t="s">
        <v>55</v>
      </c>
      <c r="BL38" s="74" t="s">
        <v>56</v>
      </c>
      <c r="BM38" s="74" t="s">
        <v>57</v>
      </c>
      <c r="BN38" s="74" t="s">
        <v>58</v>
      </c>
      <c r="BO38" s="74" t="s">
        <v>59</v>
      </c>
      <c r="BP38" s="74" t="s">
        <v>60</v>
      </c>
      <c r="BQ38" s="74" t="s">
        <v>61</v>
      </c>
      <c r="BR38" s="74" t="s">
        <v>62</v>
      </c>
      <c r="BS38" s="74" t="s">
        <v>63</v>
      </c>
      <c r="BT38" s="74" t="s">
        <v>64</v>
      </c>
      <c r="BU38" s="74" t="s">
        <v>65</v>
      </c>
      <c r="BV38" s="74" t="s">
        <v>66</v>
      </c>
      <c r="BW38" s="74" t="s">
        <v>67</v>
      </c>
      <c r="BX38" s="74" t="s">
        <v>68</v>
      </c>
      <c r="BY38" s="74" t="s">
        <v>69</v>
      </c>
      <c r="BZ38" s="74" t="s">
        <v>70</v>
      </c>
      <c r="CA38" s="74" t="s">
        <v>71</v>
      </c>
      <c r="CB38" s="74" t="s">
        <v>72</v>
      </c>
      <c r="CC38" s="74" t="s">
        <v>73</v>
      </c>
      <c r="CD38" s="74" t="s">
        <v>74</v>
      </c>
      <c r="CE38" s="74" t="s">
        <v>75</v>
      </c>
      <c r="CF38" s="74" t="s">
        <v>76</v>
      </c>
      <c r="CG38" s="74" t="s">
        <v>77</v>
      </c>
      <c r="CH38" s="74" t="s">
        <v>78</v>
      </c>
      <c r="CI38" s="74" t="s">
        <v>79</v>
      </c>
      <c r="CJ38" s="74" t="s">
        <v>80</v>
      </c>
      <c r="CK38" s="74" t="s">
        <v>210</v>
      </c>
      <c r="CL38" s="74" t="s">
        <v>211</v>
      </c>
      <c r="CM38" s="74" t="s">
        <v>212</v>
      </c>
      <c r="CN38" s="74" t="s">
        <v>213</v>
      </c>
      <c r="CO38" s="74" t="s">
        <v>214</v>
      </c>
      <c r="CP38" s="74" t="s">
        <v>216</v>
      </c>
      <c r="CQ38" s="74" t="s">
        <v>217</v>
      </c>
      <c r="CR38" s="74" t="s">
        <v>218</v>
      </c>
      <c r="CS38" s="74" t="s">
        <v>220</v>
      </c>
      <c r="CT38" s="74" t="s">
        <v>90</v>
      </c>
      <c r="CU38" s="74" t="s">
        <v>91</v>
      </c>
      <c r="CV38" s="74" t="s">
        <v>92</v>
      </c>
      <c r="CW38" s="74" t="s">
        <v>93</v>
      </c>
      <c r="CX38" s="74" t="s">
        <v>94</v>
      </c>
      <c r="CY38" s="74" t="s">
        <v>95</v>
      </c>
      <c r="CZ38" s="74" t="s">
        <v>96</v>
      </c>
      <c r="DA38" s="74" t="s">
        <v>97</v>
      </c>
      <c r="DB38" s="74" t="s">
        <v>46</v>
      </c>
      <c r="DC38" s="74" t="s">
        <v>47</v>
      </c>
      <c r="DD38" s="74" t="s">
        <v>48</v>
      </c>
      <c r="DE38" s="74" t="s">
        <v>49</v>
      </c>
      <c r="DF38" s="74" t="s">
        <v>50</v>
      </c>
      <c r="DG38" s="74" t="s">
        <v>51</v>
      </c>
      <c r="DH38" s="74" t="s">
        <v>52</v>
      </c>
      <c r="DI38" s="74" t="s">
        <v>53</v>
      </c>
      <c r="DJ38" s="74" t="s">
        <v>54</v>
      </c>
      <c r="DK38" s="74" t="s">
        <v>55</v>
      </c>
      <c r="DL38" s="74" t="s">
        <v>56</v>
      </c>
      <c r="DM38" s="74" t="s">
        <v>57</v>
      </c>
      <c r="DN38" s="74" t="s">
        <v>58</v>
      </c>
      <c r="DO38" s="74" t="s">
        <v>59</v>
      </c>
      <c r="DP38" s="74" t="s">
        <v>60</v>
      </c>
      <c r="DQ38" s="74" t="s">
        <v>61</v>
      </c>
      <c r="DR38" s="74" t="s">
        <v>62</v>
      </c>
      <c r="DS38" s="74" t="s">
        <v>63</v>
      </c>
      <c r="DT38" s="74" t="s">
        <v>64</v>
      </c>
      <c r="DU38" s="74" t="s">
        <v>65</v>
      </c>
      <c r="DV38" s="74" t="s">
        <v>66</v>
      </c>
      <c r="DW38" s="74" t="s">
        <v>67</v>
      </c>
      <c r="DX38" s="74" t="s">
        <v>68</v>
      </c>
      <c r="DY38" s="74" t="s">
        <v>69</v>
      </c>
      <c r="DZ38" s="74" t="s">
        <v>70</v>
      </c>
      <c r="EA38" s="74" t="s">
        <v>71</v>
      </c>
      <c r="EB38" s="74" t="s">
        <v>72</v>
      </c>
      <c r="EC38" s="74" t="s">
        <v>73</v>
      </c>
      <c r="ED38" s="74" t="s">
        <v>74</v>
      </c>
      <c r="EE38" s="74" t="s">
        <v>75</v>
      </c>
      <c r="EF38" s="74" t="s">
        <v>76</v>
      </c>
      <c r="EG38" s="74" t="s">
        <v>77</v>
      </c>
      <c r="EH38" s="74" t="s">
        <v>78</v>
      </c>
      <c r="EI38" s="74" t="s">
        <v>79</v>
      </c>
      <c r="EJ38" s="74" t="s">
        <v>80</v>
      </c>
      <c r="EK38" s="74" t="s">
        <v>210</v>
      </c>
      <c r="EL38" s="74" t="s">
        <v>211</v>
      </c>
      <c r="EM38" s="74" t="s">
        <v>212</v>
      </c>
      <c r="EN38" s="74" t="s">
        <v>213</v>
      </c>
      <c r="EO38" s="74" t="s">
        <v>214</v>
      </c>
      <c r="EP38" s="74" t="s">
        <v>216</v>
      </c>
      <c r="EQ38" s="74" t="s">
        <v>217</v>
      </c>
      <c r="ER38" s="74" t="s">
        <v>218</v>
      </c>
      <c r="ES38" s="74" t="s">
        <v>220</v>
      </c>
      <c r="ET38" s="74" t="s">
        <v>90</v>
      </c>
      <c r="EU38" s="74" t="s">
        <v>91</v>
      </c>
      <c r="EV38" s="74" t="s">
        <v>92</v>
      </c>
      <c r="EW38" s="74" t="s">
        <v>93</v>
      </c>
      <c r="EX38" s="74" t="s">
        <v>94</v>
      </c>
      <c r="EY38" s="74" t="s">
        <v>95</v>
      </c>
      <c r="EZ38" s="74" t="s">
        <v>96</v>
      </c>
      <c r="FA38" s="74" t="s">
        <v>97</v>
      </c>
      <c r="FB38" s="74" t="s">
        <v>46</v>
      </c>
      <c r="FC38" s="74" t="s">
        <v>47</v>
      </c>
      <c r="FD38" s="74" t="s">
        <v>48</v>
      </c>
      <c r="FE38" s="74" t="s">
        <v>49</v>
      </c>
      <c r="FF38" s="74" t="s">
        <v>50</v>
      </c>
      <c r="FG38" s="74" t="s">
        <v>51</v>
      </c>
      <c r="FH38" s="74" t="s">
        <v>52</v>
      </c>
      <c r="FI38" s="74" t="s">
        <v>53</v>
      </c>
      <c r="FJ38" s="74" t="s">
        <v>54</v>
      </c>
      <c r="FK38" s="74" t="s">
        <v>55</v>
      </c>
    </row>
    <row r="39" spans="1:167" ht="15.75" customHeight="1" x14ac:dyDescent="0.35">
      <c r="A39" s="89" t="s">
        <v>100</v>
      </c>
      <c r="B39" s="76"/>
      <c r="C39" s="76"/>
      <c r="D39" s="76"/>
      <c r="E39" s="76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>
        <v>1</v>
      </c>
      <c r="AL39" s="79"/>
      <c r="AM39" s="79">
        <v>2</v>
      </c>
      <c r="AN39" s="79"/>
      <c r="AO39" s="79">
        <v>7</v>
      </c>
      <c r="AP39" s="79">
        <v>10</v>
      </c>
      <c r="AQ39" s="79">
        <v>2</v>
      </c>
      <c r="AR39" s="79">
        <v>4</v>
      </c>
      <c r="AS39" s="79">
        <v>2</v>
      </c>
      <c r="AT39" s="79">
        <v>1</v>
      </c>
      <c r="AU39" s="79">
        <v>3</v>
      </c>
      <c r="AV39" s="79">
        <v>15</v>
      </c>
      <c r="AW39" s="79"/>
      <c r="AX39" s="79"/>
      <c r="AY39" s="79">
        <f>VLOOKUP(A39,[8]Sheet1!$A:$B,2,FALSE)</f>
        <v>15</v>
      </c>
      <c r="AZ39" s="79">
        <f>VLOOKUP(A39,[9]Sheet2!$A:$B,2,FALSE)</f>
        <v>9</v>
      </c>
      <c r="BA39" s="79">
        <f>VLOOKUP(A39,[10]stats!$A:$B,2,FALSE)</f>
        <v>5</v>
      </c>
      <c r="BB39" s="79">
        <v>12</v>
      </c>
      <c r="BC39" s="79">
        <v>21</v>
      </c>
      <c r="BD39" s="79">
        <v>10</v>
      </c>
      <c r="BE39" s="79">
        <v>1</v>
      </c>
      <c r="BF39" s="79"/>
      <c r="BG39" s="79">
        <v>6</v>
      </c>
      <c r="BH39" s="79">
        <v>3</v>
      </c>
      <c r="BI39" s="79">
        <v>5</v>
      </c>
      <c r="BJ39" s="79">
        <v>3</v>
      </c>
      <c r="BK39" s="79">
        <v>4</v>
      </c>
      <c r="BL39" s="79">
        <v>10</v>
      </c>
      <c r="BM39" s="79">
        <v>5</v>
      </c>
      <c r="BN39" s="79">
        <v>2</v>
      </c>
      <c r="BO39" s="79">
        <v>3</v>
      </c>
      <c r="BP39" s="79">
        <v>3</v>
      </c>
      <c r="BQ39" s="79">
        <v>10</v>
      </c>
      <c r="BR39" s="79">
        <v>12</v>
      </c>
      <c r="BS39" s="79">
        <v>1</v>
      </c>
      <c r="BT39" s="79">
        <v>6</v>
      </c>
      <c r="BU39" s="79">
        <v>10</v>
      </c>
      <c r="BV39" s="79">
        <v>2</v>
      </c>
      <c r="BW39" s="79">
        <v>3</v>
      </c>
      <c r="BX39" s="79">
        <v>0</v>
      </c>
      <c r="BY39" s="79">
        <v>6</v>
      </c>
      <c r="BZ39" s="79">
        <v>4</v>
      </c>
      <c r="CA39" s="79">
        <v>1</v>
      </c>
      <c r="CB39" s="79">
        <v>2</v>
      </c>
      <c r="CC39" s="79">
        <v>6</v>
      </c>
      <c r="CD39" s="79">
        <v>6</v>
      </c>
      <c r="CE39" s="79">
        <v>1</v>
      </c>
      <c r="CF39" s="79">
        <v>0</v>
      </c>
      <c r="CG39" s="79">
        <v>1</v>
      </c>
      <c r="CH39" s="79">
        <v>2</v>
      </c>
      <c r="CI39" s="79">
        <v>1</v>
      </c>
      <c r="CJ39" s="79">
        <v>0</v>
      </c>
      <c r="CK39" s="79">
        <v>0</v>
      </c>
      <c r="CL39" s="79">
        <v>0</v>
      </c>
      <c r="CM39" s="79">
        <v>3</v>
      </c>
      <c r="CN39" s="79">
        <v>1</v>
      </c>
      <c r="CO39" s="79">
        <v>1</v>
      </c>
      <c r="CP39" s="79">
        <v>6</v>
      </c>
      <c r="CQ39" s="79">
        <v>1</v>
      </c>
      <c r="CR39" s="79">
        <v>4</v>
      </c>
      <c r="CS39" s="79">
        <v>0</v>
      </c>
      <c r="CT39" s="79">
        <v>4</v>
      </c>
      <c r="CU39" s="79">
        <v>3</v>
      </c>
      <c r="CV39" s="79">
        <v>6</v>
      </c>
      <c r="CW39" s="79">
        <v>3</v>
      </c>
      <c r="CX39" s="79">
        <v>1</v>
      </c>
      <c r="CY39" s="79">
        <v>5</v>
      </c>
      <c r="CZ39" s="79">
        <v>6</v>
      </c>
      <c r="DA39" s="79">
        <v>2</v>
      </c>
      <c r="DB39" s="79">
        <v>1</v>
      </c>
      <c r="DC39" s="79">
        <v>4</v>
      </c>
      <c r="DD39" s="79">
        <v>6</v>
      </c>
      <c r="DE39" s="79">
        <v>3</v>
      </c>
      <c r="DF39" s="79">
        <v>1</v>
      </c>
      <c r="DG39" s="79">
        <v>3</v>
      </c>
      <c r="DH39" s="79">
        <v>6</v>
      </c>
      <c r="DI39" s="79">
        <v>6</v>
      </c>
      <c r="DJ39" s="79">
        <v>2</v>
      </c>
      <c r="DK39" s="79">
        <v>0</v>
      </c>
      <c r="DL39" s="79">
        <v>12</v>
      </c>
      <c r="DM39" s="79">
        <v>9</v>
      </c>
      <c r="DN39" s="79">
        <v>4</v>
      </c>
      <c r="DO39" s="79">
        <v>3</v>
      </c>
      <c r="DP39" s="79">
        <v>1</v>
      </c>
      <c r="DQ39" s="79">
        <v>6</v>
      </c>
      <c r="DR39" s="79">
        <v>4</v>
      </c>
      <c r="DS39" s="79">
        <v>0</v>
      </c>
      <c r="DT39" s="79">
        <v>6</v>
      </c>
      <c r="DU39" s="79">
        <v>14</v>
      </c>
      <c r="DV39" s="79">
        <v>3</v>
      </c>
      <c r="DW39" s="79">
        <v>4</v>
      </c>
      <c r="DX39" s="79">
        <v>2</v>
      </c>
      <c r="DY39" s="79">
        <v>3</v>
      </c>
      <c r="DZ39" s="79">
        <v>1</v>
      </c>
      <c r="EA39" s="79">
        <v>1</v>
      </c>
      <c r="EB39" s="79">
        <v>4</v>
      </c>
      <c r="EC39" s="79">
        <v>4</v>
      </c>
      <c r="ED39" s="79">
        <v>3</v>
      </c>
      <c r="EE39" s="79">
        <v>1</v>
      </c>
      <c r="EF39" s="79">
        <v>2</v>
      </c>
      <c r="EG39" s="79">
        <v>2</v>
      </c>
      <c r="EH39" s="79">
        <v>1</v>
      </c>
      <c r="EI39" s="79">
        <v>0</v>
      </c>
      <c r="EJ39" s="79">
        <v>0</v>
      </c>
      <c r="EK39" s="79">
        <v>0</v>
      </c>
      <c r="EL39" s="79">
        <v>8</v>
      </c>
      <c r="EM39" s="79">
        <v>7</v>
      </c>
      <c r="EN39" s="79">
        <v>3</v>
      </c>
      <c r="EO39" s="79">
        <v>2</v>
      </c>
      <c r="EP39" s="79">
        <v>3</v>
      </c>
      <c r="EQ39" s="79">
        <v>10</v>
      </c>
      <c r="ER39" s="79">
        <v>5</v>
      </c>
      <c r="ES39" s="79">
        <v>4</v>
      </c>
      <c r="ET39" s="79">
        <v>6</v>
      </c>
      <c r="EU39" s="79">
        <v>8</v>
      </c>
      <c r="EV39" s="79">
        <v>8</v>
      </c>
      <c r="EW39" s="79">
        <v>2</v>
      </c>
      <c r="EX39" s="79">
        <v>0</v>
      </c>
      <c r="EY39" s="79">
        <v>0</v>
      </c>
      <c r="EZ39" s="79">
        <v>5</v>
      </c>
      <c r="FA39" s="79">
        <v>6</v>
      </c>
      <c r="FB39" s="79">
        <v>0</v>
      </c>
      <c r="FC39" s="79">
        <v>6</v>
      </c>
      <c r="FD39" s="79">
        <v>4</v>
      </c>
      <c r="FE39" s="79">
        <v>2</v>
      </c>
      <c r="FF39" s="79">
        <v>0</v>
      </c>
      <c r="FG39" s="79">
        <v>2</v>
      </c>
      <c r="FH39" s="79">
        <v>14</v>
      </c>
      <c r="FI39" s="79">
        <v>11</v>
      </c>
      <c r="FJ39" s="79">
        <v>11</v>
      </c>
      <c r="FK39" s="79">
        <v>6</v>
      </c>
    </row>
    <row r="40" spans="1:167" ht="15.75" customHeight="1" x14ac:dyDescent="0.35">
      <c r="A40" s="89" t="s">
        <v>199</v>
      </c>
      <c r="B40" s="76"/>
      <c r="C40" s="76"/>
      <c r="D40" s="76"/>
      <c r="E40" s="76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>
        <v>5</v>
      </c>
      <c r="AO40" s="79">
        <v>6</v>
      </c>
      <c r="AP40" s="79">
        <v>6</v>
      </c>
      <c r="AQ40" s="79">
        <v>2</v>
      </c>
      <c r="AR40" s="79">
        <v>11</v>
      </c>
      <c r="AS40" s="79">
        <v>16</v>
      </c>
      <c r="AT40" s="79">
        <v>13</v>
      </c>
      <c r="AU40" s="79">
        <v>7</v>
      </c>
      <c r="AV40" s="79">
        <v>14</v>
      </c>
      <c r="AW40" s="79">
        <v>5</v>
      </c>
      <c r="AX40" s="79"/>
      <c r="AY40" s="79">
        <f>VLOOKUP(A40,[8]Sheet1!$A:$B,2,FALSE)</f>
        <v>3</v>
      </c>
      <c r="AZ40" s="79">
        <f>VLOOKUP(A40,[9]Sheet2!$A:$B,2,FALSE)</f>
        <v>4</v>
      </c>
      <c r="BA40" s="79">
        <f>VLOOKUP(A40,[10]stats!$A:$B,2,FALSE)</f>
        <v>3</v>
      </c>
      <c r="BB40" s="79">
        <v>12</v>
      </c>
      <c r="BC40" s="79">
        <v>11</v>
      </c>
      <c r="BD40" s="79">
        <v>2</v>
      </c>
      <c r="BE40" s="79">
        <v>8</v>
      </c>
      <c r="BF40" s="79">
        <v>9</v>
      </c>
      <c r="BG40" s="79">
        <v>2</v>
      </c>
      <c r="BH40" s="79">
        <v>3</v>
      </c>
      <c r="BI40" s="79">
        <v>3</v>
      </c>
      <c r="BJ40" s="79">
        <v>4</v>
      </c>
      <c r="BK40" s="79">
        <v>2</v>
      </c>
      <c r="BL40" s="79">
        <v>4</v>
      </c>
      <c r="BM40" s="79">
        <v>0</v>
      </c>
      <c r="BN40" s="79">
        <v>2</v>
      </c>
      <c r="BO40" s="79">
        <v>1</v>
      </c>
      <c r="BP40" s="79">
        <v>3</v>
      </c>
      <c r="BQ40" s="79">
        <v>2</v>
      </c>
      <c r="BR40" s="79">
        <v>2</v>
      </c>
      <c r="BS40" s="79">
        <v>1</v>
      </c>
      <c r="BT40" s="79">
        <v>5</v>
      </c>
      <c r="BU40" s="79">
        <v>2</v>
      </c>
      <c r="BV40" s="79">
        <v>3</v>
      </c>
      <c r="BW40" s="79">
        <v>4</v>
      </c>
      <c r="BX40" s="79">
        <v>0</v>
      </c>
      <c r="BY40" s="79">
        <v>5</v>
      </c>
      <c r="BZ40" s="79">
        <v>3</v>
      </c>
      <c r="CA40" s="79">
        <v>1</v>
      </c>
      <c r="CB40" s="79">
        <v>2</v>
      </c>
      <c r="CC40" s="79">
        <v>0</v>
      </c>
      <c r="CD40" s="79">
        <v>3</v>
      </c>
      <c r="CE40" s="79">
        <v>1</v>
      </c>
      <c r="CF40" s="79">
        <v>0</v>
      </c>
      <c r="CG40" s="79">
        <v>1</v>
      </c>
      <c r="CH40" s="79">
        <v>2</v>
      </c>
      <c r="CI40" s="79">
        <v>0</v>
      </c>
      <c r="CJ40" s="79">
        <v>1</v>
      </c>
      <c r="CK40" s="79">
        <v>0</v>
      </c>
      <c r="CL40" s="79">
        <v>4</v>
      </c>
      <c r="CM40" s="79">
        <v>4</v>
      </c>
      <c r="CN40" s="79">
        <v>2</v>
      </c>
      <c r="CO40" s="79">
        <v>5</v>
      </c>
      <c r="CP40" s="79">
        <v>2</v>
      </c>
      <c r="CQ40" s="79">
        <v>6</v>
      </c>
      <c r="CR40" s="79">
        <v>5</v>
      </c>
      <c r="CS40" s="79">
        <v>5</v>
      </c>
      <c r="CT40" s="79">
        <v>1</v>
      </c>
      <c r="CU40" s="79">
        <v>6</v>
      </c>
      <c r="CV40" s="79">
        <v>3</v>
      </c>
      <c r="CW40" s="79">
        <v>2</v>
      </c>
      <c r="CX40" s="79">
        <v>1</v>
      </c>
      <c r="CY40" s="79">
        <v>2</v>
      </c>
      <c r="CZ40" s="79">
        <v>6</v>
      </c>
      <c r="DA40" s="79">
        <v>2</v>
      </c>
      <c r="DB40" s="79">
        <v>2</v>
      </c>
      <c r="DC40" s="79">
        <v>4</v>
      </c>
      <c r="DD40" s="79">
        <v>7</v>
      </c>
      <c r="DE40" s="79">
        <v>4</v>
      </c>
      <c r="DF40" s="79">
        <v>8</v>
      </c>
      <c r="DG40" s="79">
        <v>5</v>
      </c>
      <c r="DH40" s="79">
        <v>8</v>
      </c>
      <c r="DI40" s="79">
        <v>5</v>
      </c>
      <c r="DJ40" s="79">
        <v>10</v>
      </c>
      <c r="DK40" s="79">
        <v>12</v>
      </c>
      <c r="DL40" s="79">
        <v>12</v>
      </c>
      <c r="DM40" s="79">
        <v>15</v>
      </c>
      <c r="DN40" s="79">
        <v>11</v>
      </c>
      <c r="DO40" s="79">
        <v>14</v>
      </c>
      <c r="DP40" s="79">
        <v>21</v>
      </c>
      <c r="DQ40" s="79">
        <v>10</v>
      </c>
      <c r="DR40" s="79">
        <v>11</v>
      </c>
      <c r="DS40" s="79">
        <v>19</v>
      </c>
      <c r="DT40" s="79">
        <v>10</v>
      </c>
      <c r="DU40" s="79">
        <v>20</v>
      </c>
      <c r="DV40" s="79">
        <v>26</v>
      </c>
      <c r="DW40" s="79">
        <v>14</v>
      </c>
      <c r="DX40" s="79">
        <v>14</v>
      </c>
      <c r="DY40" s="79">
        <v>18</v>
      </c>
      <c r="DZ40" s="79">
        <v>17</v>
      </c>
      <c r="EA40" s="79">
        <v>24</v>
      </c>
      <c r="EB40" s="79">
        <v>13</v>
      </c>
      <c r="EC40" s="79">
        <v>36</v>
      </c>
      <c r="ED40" s="79">
        <v>34</v>
      </c>
      <c r="EE40" s="79">
        <v>21</v>
      </c>
      <c r="EF40" s="79">
        <v>20</v>
      </c>
      <c r="EG40" s="79">
        <v>15</v>
      </c>
      <c r="EH40" s="79">
        <v>30</v>
      </c>
      <c r="EI40" s="79">
        <v>23</v>
      </c>
      <c r="EJ40" s="79">
        <v>4</v>
      </c>
      <c r="EK40" s="79">
        <v>2</v>
      </c>
      <c r="EL40" s="79">
        <v>7</v>
      </c>
      <c r="EM40" s="79">
        <v>10</v>
      </c>
      <c r="EN40" s="79">
        <v>11</v>
      </c>
      <c r="EO40" s="79">
        <v>14</v>
      </c>
      <c r="EP40" s="79">
        <v>19</v>
      </c>
      <c r="EQ40" s="79">
        <v>13</v>
      </c>
      <c r="ER40" s="79">
        <v>22</v>
      </c>
      <c r="ES40" s="79">
        <v>12</v>
      </c>
      <c r="ET40" s="79">
        <v>17</v>
      </c>
      <c r="EU40" s="79">
        <v>18</v>
      </c>
      <c r="EV40" s="79">
        <v>6</v>
      </c>
      <c r="EW40" s="79">
        <v>7</v>
      </c>
      <c r="EX40" s="79">
        <v>20</v>
      </c>
      <c r="EY40" s="79">
        <v>11</v>
      </c>
      <c r="EZ40" s="79">
        <v>9</v>
      </c>
      <c r="FA40" s="79">
        <v>23</v>
      </c>
      <c r="FB40" s="79">
        <v>17</v>
      </c>
      <c r="FC40" s="79">
        <v>21</v>
      </c>
      <c r="FD40" s="79">
        <v>19</v>
      </c>
      <c r="FE40" s="79">
        <v>26</v>
      </c>
      <c r="FF40" s="79">
        <v>12</v>
      </c>
      <c r="FG40" s="79">
        <v>12</v>
      </c>
      <c r="FH40" s="79">
        <v>48</v>
      </c>
      <c r="FI40" s="79">
        <v>34</v>
      </c>
      <c r="FJ40" s="79">
        <v>28</v>
      </c>
      <c r="FK40" s="79">
        <v>23</v>
      </c>
    </row>
    <row r="41" spans="1:167" ht="15.75" hidden="1" customHeight="1" x14ac:dyDescent="0.35">
      <c r="A41" s="89" t="s">
        <v>221</v>
      </c>
      <c r="B41" s="76"/>
      <c r="C41" s="76"/>
      <c r="D41" s="76"/>
      <c r="E41" s="76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  <c r="AP41" s="79"/>
      <c r="AQ41" s="79"/>
      <c r="AR41" s="79"/>
      <c r="AS41" s="79"/>
      <c r="AT41" s="79"/>
      <c r="AU41" s="79"/>
      <c r="AV41" s="79"/>
      <c r="AW41" s="79"/>
      <c r="AX41" s="79"/>
      <c r="AY41" s="79"/>
      <c r="AZ41" s="79"/>
      <c r="BA41" s="79"/>
      <c r="BB41" s="79"/>
      <c r="BC41" s="79"/>
      <c r="BD41" s="79"/>
      <c r="BE41" s="79"/>
      <c r="BF41" s="79"/>
      <c r="BG41" s="79"/>
      <c r="BH41" s="79"/>
      <c r="BI41" s="79"/>
      <c r="BJ41" s="79"/>
      <c r="BK41" s="79"/>
      <c r="BL41" s="79"/>
      <c r="BM41" s="79"/>
      <c r="BN41" s="79"/>
      <c r="BO41" s="79"/>
      <c r="BP41" s="79"/>
      <c r="BQ41" s="79"/>
      <c r="BR41" s="79"/>
      <c r="BS41" s="79"/>
      <c r="BT41" s="79"/>
      <c r="BU41" s="79"/>
      <c r="BV41" s="79"/>
      <c r="BW41" s="79"/>
      <c r="BX41" s="79"/>
      <c r="BY41" s="79"/>
      <c r="BZ41" s="79"/>
      <c r="CA41" s="79"/>
      <c r="CB41" s="79"/>
      <c r="CC41" s="79"/>
      <c r="CD41" s="79"/>
      <c r="CE41" s="79"/>
      <c r="CF41" s="79"/>
      <c r="CG41" s="79"/>
      <c r="CH41" s="79"/>
      <c r="CI41" s="79"/>
      <c r="CJ41" s="79"/>
      <c r="CK41" s="79"/>
      <c r="CL41" s="79"/>
      <c r="CM41" s="79"/>
      <c r="CN41" s="79"/>
      <c r="CO41" s="79"/>
      <c r="CP41" s="79"/>
      <c r="CQ41" s="79"/>
      <c r="CR41" s="79"/>
      <c r="CS41" s="79"/>
      <c r="CT41" s="79"/>
      <c r="CU41" s="79"/>
      <c r="CV41" s="79"/>
      <c r="CW41" s="79"/>
      <c r="CX41" s="79"/>
      <c r="CY41" s="79"/>
      <c r="CZ41" s="79"/>
      <c r="DA41" s="79"/>
      <c r="DB41" s="79"/>
      <c r="DC41" s="79"/>
      <c r="DD41" s="79"/>
      <c r="DE41" s="79"/>
      <c r="DF41" s="79"/>
      <c r="DG41" s="79"/>
      <c r="DH41" s="79"/>
      <c r="DI41" s="79"/>
      <c r="DJ41" s="79"/>
      <c r="DK41" s="79"/>
      <c r="DL41" s="79"/>
      <c r="DM41" s="79"/>
      <c r="DN41" s="79"/>
      <c r="DO41" s="79"/>
      <c r="DP41" s="79"/>
      <c r="DQ41" s="79"/>
      <c r="DR41" s="79"/>
      <c r="DS41" s="79"/>
      <c r="DT41" s="79"/>
      <c r="DU41" s="79"/>
      <c r="DV41" s="79"/>
      <c r="DW41" s="79"/>
      <c r="DX41" s="79"/>
      <c r="DY41" s="79"/>
      <c r="DZ41" s="79"/>
      <c r="EA41" s="79"/>
      <c r="EB41" s="79"/>
      <c r="EC41" s="79"/>
      <c r="ED41" s="79"/>
      <c r="EE41" s="79">
        <v>0</v>
      </c>
      <c r="EF41" s="79">
        <v>0</v>
      </c>
      <c r="EG41" s="79">
        <v>0</v>
      </c>
      <c r="EH41" s="79">
        <v>0</v>
      </c>
      <c r="EI41" s="79">
        <v>0</v>
      </c>
      <c r="EJ41" s="79">
        <v>0</v>
      </c>
      <c r="EK41" s="79">
        <v>3</v>
      </c>
      <c r="EL41" s="79">
        <v>9</v>
      </c>
      <c r="EM41" s="79">
        <v>11</v>
      </c>
      <c r="EN41" s="79">
        <v>20</v>
      </c>
      <c r="EO41" s="79">
        <v>7</v>
      </c>
      <c r="EP41" s="79">
        <v>12</v>
      </c>
      <c r="EQ41" s="79">
        <v>8</v>
      </c>
      <c r="ER41" s="79">
        <v>16</v>
      </c>
      <c r="ES41" s="79">
        <v>9</v>
      </c>
      <c r="ET41" s="79">
        <v>18</v>
      </c>
      <c r="EU41" s="79">
        <v>10</v>
      </c>
      <c r="EV41" s="79">
        <v>7</v>
      </c>
      <c r="EW41" s="79">
        <v>9</v>
      </c>
      <c r="EX41" s="79">
        <v>8</v>
      </c>
      <c r="EY41" s="79">
        <v>21</v>
      </c>
      <c r="EZ41" s="79">
        <v>15</v>
      </c>
      <c r="FA41" s="79">
        <v>17</v>
      </c>
      <c r="FB41" s="79">
        <v>9</v>
      </c>
      <c r="FC41" s="79">
        <v>12</v>
      </c>
      <c r="FD41" s="79">
        <v>23</v>
      </c>
      <c r="FE41" s="79">
        <v>17</v>
      </c>
      <c r="FF41" s="79">
        <v>7</v>
      </c>
      <c r="FG41" s="79">
        <v>8</v>
      </c>
      <c r="FH41" s="79">
        <v>10</v>
      </c>
      <c r="FI41" s="79">
        <v>0</v>
      </c>
      <c r="FJ41" s="79">
        <v>0</v>
      </c>
      <c r="FK41" s="79">
        <v>7</v>
      </c>
    </row>
    <row r="42" spans="1:167" ht="15.75" customHeight="1" x14ac:dyDescent="0.35">
      <c r="A42" s="89" t="s">
        <v>198</v>
      </c>
      <c r="B42" s="76"/>
      <c r="C42" s="76"/>
      <c r="D42" s="76"/>
      <c r="E42" s="76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/>
      <c r="AS42" s="79"/>
      <c r="AT42" s="79"/>
      <c r="AU42" s="79"/>
      <c r="AV42" s="79"/>
      <c r="AW42" s="79"/>
      <c r="AX42" s="79"/>
      <c r="AY42" s="79"/>
      <c r="AZ42" s="79"/>
      <c r="BA42" s="79"/>
      <c r="BB42" s="79"/>
      <c r="BC42" s="79"/>
      <c r="BD42" s="79"/>
      <c r="BE42" s="79"/>
      <c r="BF42" s="79"/>
      <c r="BG42" s="79"/>
      <c r="BH42" s="79"/>
      <c r="BI42" s="79"/>
      <c r="BJ42" s="79"/>
      <c r="BK42" s="79">
        <v>0</v>
      </c>
      <c r="BL42" s="79">
        <v>0</v>
      </c>
      <c r="BM42" s="79">
        <v>0</v>
      </c>
      <c r="BN42" s="79">
        <v>0</v>
      </c>
      <c r="BO42" s="79">
        <v>0</v>
      </c>
      <c r="BP42" s="79">
        <v>0</v>
      </c>
      <c r="BQ42" s="79">
        <v>0</v>
      </c>
      <c r="BR42" s="79">
        <v>0</v>
      </c>
      <c r="BS42" s="79">
        <v>0</v>
      </c>
      <c r="BT42" s="79">
        <v>0</v>
      </c>
      <c r="BU42" s="79">
        <v>0</v>
      </c>
      <c r="BV42" s="79">
        <v>1</v>
      </c>
      <c r="BW42" s="79">
        <v>0</v>
      </c>
      <c r="BX42" s="79">
        <v>0</v>
      </c>
      <c r="BY42" s="79">
        <v>0</v>
      </c>
      <c r="BZ42" s="79">
        <v>0</v>
      </c>
      <c r="CA42" s="79">
        <v>0</v>
      </c>
      <c r="CB42" s="79">
        <v>0</v>
      </c>
      <c r="CC42" s="79">
        <v>1</v>
      </c>
      <c r="CD42" s="79">
        <v>0</v>
      </c>
      <c r="CE42" s="79">
        <v>0</v>
      </c>
      <c r="CF42" s="79">
        <v>0</v>
      </c>
      <c r="CG42" s="79">
        <v>0</v>
      </c>
      <c r="CH42" s="79">
        <v>0</v>
      </c>
      <c r="CI42" s="79">
        <v>0</v>
      </c>
      <c r="CJ42" s="79">
        <v>0</v>
      </c>
      <c r="CK42" s="79">
        <v>0</v>
      </c>
      <c r="CL42" s="79">
        <v>1</v>
      </c>
      <c r="CM42" s="79">
        <v>1</v>
      </c>
      <c r="CN42" s="79">
        <v>0</v>
      </c>
      <c r="CO42" s="79">
        <v>0</v>
      </c>
      <c r="CP42" s="79">
        <v>0</v>
      </c>
      <c r="CQ42" s="79">
        <v>0</v>
      </c>
      <c r="CR42" s="79">
        <v>0</v>
      </c>
      <c r="CS42" s="79">
        <v>0</v>
      </c>
      <c r="CT42" s="79">
        <v>0</v>
      </c>
      <c r="CU42" s="79">
        <v>0</v>
      </c>
      <c r="CV42" s="79">
        <v>0</v>
      </c>
      <c r="CW42" s="79">
        <v>0</v>
      </c>
      <c r="CX42" s="79">
        <v>0</v>
      </c>
      <c r="CY42" s="79">
        <v>0</v>
      </c>
      <c r="CZ42" s="79">
        <v>0</v>
      </c>
      <c r="DA42" s="79">
        <v>0</v>
      </c>
      <c r="DB42" s="79">
        <v>0</v>
      </c>
      <c r="DC42" s="79">
        <v>0</v>
      </c>
      <c r="DD42" s="79">
        <v>0</v>
      </c>
      <c r="DE42" s="79">
        <v>0</v>
      </c>
      <c r="DF42" s="79">
        <v>0</v>
      </c>
      <c r="DG42" s="79">
        <v>0</v>
      </c>
      <c r="DH42" s="79">
        <v>0</v>
      </c>
      <c r="DI42" s="79">
        <v>0</v>
      </c>
      <c r="DJ42" s="79">
        <v>0</v>
      </c>
      <c r="DK42" s="79">
        <v>0</v>
      </c>
      <c r="DL42" s="79">
        <v>0</v>
      </c>
      <c r="DM42" s="79">
        <v>0</v>
      </c>
      <c r="DN42" s="79">
        <v>0</v>
      </c>
      <c r="DO42" s="79">
        <v>0</v>
      </c>
      <c r="DP42" s="79">
        <v>0</v>
      </c>
      <c r="DQ42" s="79">
        <v>0</v>
      </c>
      <c r="DR42" s="79">
        <v>0</v>
      </c>
      <c r="DS42" s="79">
        <v>0</v>
      </c>
      <c r="DT42" s="79">
        <v>0</v>
      </c>
      <c r="DU42" s="79">
        <v>0</v>
      </c>
      <c r="DV42" s="79">
        <v>0</v>
      </c>
      <c r="DW42" s="79">
        <v>0</v>
      </c>
      <c r="DX42" s="79">
        <v>0</v>
      </c>
      <c r="DY42" s="79">
        <v>0</v>
      </c>
      <c r="DZ42" s="79">
        <v>0</v>
      </c>
      <c r="EA42" s="79">
        <v>0</v>
      </c>
      <c r="EB42" s="79">
        <v>0</v>
      </c>
      <c r="EC42" s="79">
        <v>0</v>
      </c>
      <c r="ED42" s="79">
        <v>0</v>
      </c>
      <c r="EE42" s="79">
        <v>0</v>
      </c>
      <c r="EF42" s="79">
        <v>0</v>
      </c>
      <c r="EG42" s="79">
        <v>0</v>
      </c>
      <c r="EH42" s="79">
        <v>0</v>
      </c>
      <c r="EI42" s="79">
        <v>0</v>
      </c>
      <c r="EJ42" s="79">
        <v>0</v>
      </c>
      <c r="EK42" s="79">
        <v>0</v>
      </c>
      <c r="EL42" s="79">
        <v>0</v>
      </c>
      <c r="EM42" s="79">
        <v>0</v>
      </c>
      <c r="EN42" s="79">
        <v>0</v>
      </c>
      <c r="EO42" s="79">
        <v>0</v>
      </c>
      <c r="EP42" s="79">
        <v>0</v>
      </c>
      <c r="EQ42" s="79">
        <v>0</v>
      </c>
      <c r="ER42" s="79">
        <v>0</v>
      </c>
      <c r="ES42" s="79">
        <v>0</v>
      </c>
      <c r="ET42" s="79">
        <v>0</v>
      </c>
      <c r="EU42" s="79">
        <v>0</v>
      </c>
      <c r="EV42" s="79">
        <v>0</v>
      </c>
      <c r="EW42" s="79">
        <v>0</v>
      </c>
      <c r="EX42" s="79">
        <v>0</v>
      </c>
      <c r="EY42" s="79">
        <v>1</v>
      </c>
      <c r="EZ42" s="79">
        <v>0</v>
      </c>
      <c r="FA42" s="79">
        <v>2</v>
      </c>
      <c r="FB42" s="79">
        <v>0</v>
      </c>
      <c r="FC42" s="79">
        <v>0</v>
      </c>
      <c r="FD42" s="79">
        <v>0</v>
      </c>
      <c r="FE42" s="79">
        <v>0</v>
      </c>
      <c r="FF42" s="79">
        <v>0</v>
      </c>
      <c r="FG42" s="79">
        <v>0</v>
      </c>
      <c r="FH42" s="79">
        <v>0</v>
      </c>
      <c r="FI42" s="79">
        <v>0</v>
      </c>
      <c r="FJ42" s="79">
        <v>0</v>
      </c>
      <c r="FK42" s="79">
        <v>0</v>
      </c>
    </row>
    <row r="43" spans="1:167" ht="15.75" customHeight="1" x14ac:dyDescent="0.35">
      <c r="A43" s="89" t="s">
        <v>99</v>
      </c>
      <c r="B43" s="76"/>
      <c r="C43" s="76"/>
      <c r="D43" s="76"/>
      <c r="E43" s="76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79"/>
      <c r="AX43" s="79"/>
      <c r="AY43" s="79">
        <v>2</v>
      </c>
      <c r="AZ43" s="79"/>
      <c r="BA43" s="79"/>
      <c r="BB43" s="79"/>
      <c r="BC43" s="79">
        <v>2</v>
      </c>
      <c r="BD43" s="79"/>
      <c r="BE43" s="79">
        <v>2</v>
      </c>
      <c r="BF43" s="79"/>
      <c r="BG43" s="79">
        <v>4</v>
      </c>
      <c r="BH43" s="79">
        <v>3</v>
      </c>
      <c r="BI43" s="79">
        <v>1</v>
      </c>
      <c r="BJ43" s="79">
        <v>1</v>
      </c>
      <c r="BK43" s="79">
        <v>2</v>
      </c>
      <c r="BL43" s="79">
        <v>2</v>
      </c>
      <c r="BM43" s="79">
        <v>1</v>
      </c>
      <c r="BN43" s="79">
        <v>0</v>
      </c>
      <c r="BO43" s="79">
        <v>1</v>
      </c>
      <c r="BP43" s="79">
        <v>1</v>
      </c>
      <c r="BQ43" s="79">
        <v>3</v>
      </c>
      <c r="BR43" s="79">
        <v>0</v>
      </c>
      <c r="BS43" s="79">
        <v>1</v>
      </c>
      <c r="BT43" s="79">
        <v>1</v>
      </c>
      <c r="BU43" s="79">
        <v>0</v>
      </c>
      <c r="BV43" s="79">
        <v>1</v>
      </c>
      <c r="BW43" s="79">
        <v>0</v>
      </c>
      <c r="BX43" s="79">
        <v>0</v>
      </c>
      <c r="BY43" s="79">
        <v>2</v>
      </c>
      <c r="BZ43" s="79">
        <v>1</v>
      </c>
      <c r="CA43" s="79">
        <v>0</v>
      </c>
      <c r="CB43" s="79">
        <v>0</v>
      </c>
      <c r="CC43" s="79">
        <v>0</v>
      </c>
      <c r="CD43" s="79">
        <v>1</v>
      </c>
      <c r="CE43" s="79">
        <v>0</v>
      </c>
      <c r="CF43" s="79">
        <v>0</v>
      </c>
      <c r="CG43" s="79">
        <v>0</v>
      </c>
      <c r="CH43" s="79">
        <v>0</v>
      </c>
      <c r="CI43" s="79">
        <v>0</v>
      </c>
      <c r="CJ43" s="79">
        <v>0</v>
      </c>
      <c r="CK43" s="79">
        <v>0</v>
      </c>
      <c r="CL43" s="79">
        <v>0</v>
      </c>
      <c r="CM43" s="79">
        <v>0</v>
      </c>
      <c r="CN43" s="79">
        <v>0</v>
      </c>
      <c r="CO43" s="79">
        <v>0</v>
      </c>
      <c r="CP43" s="79">
        <v>0</v>
      </c>
      <c r="CQ43" s="79">
        <v>1</v>
      </c>
      <c r="CR43" s="79">
        <v>1</v>
      </c>
      <c r="CS43" s="79">
        <v>0</v>
      </c>
      <c r="CT43" s="79">
        <v>2</v>
      </c>
      <c r="CU43" s="79">
        <v>1</v>
      </c>
      <c r="CV43" s="79">
        <v>1</v>
      </c>
      <c r="CW43" s="79">
        <v>0</v>
      </c>
      <c r="CX43" s="79">
        <v>0</v>
      </c>
      <c r="CY43" s="79">
        <v>0</v>
      </c>
      <c r="CZ43" s="79">
        <v>0</v>
      </c>
      <c r="DA43" s="79">
        <v>0</v>
      </c>
      <c r="DB43" s="79">
        <v>1</v>
      </c>
      <c r="DC43" s="79">
        <v>4</v>
      </c>
      <c r="DD43" s="79">
        <v>1</v>
      </c>
      <c r="DE43" s="79">
        <v>1</v>
      </c>
      <c r="DF43" s="79">
        <v>1</v>
      </c>
      <c r="DG43" s="79">
        <v>1</v>
      </c>
      <c r="DH43" s="79">
        <v>3</v>
      </c>
      <c r="DI43" s="79">
        <v>1</v>
      </c>
      <c r="DJ43" s="79">
        <v>0</v>
      </c>
      <c r="DK43" s="79">
        <v>0</v>
      </c>
      <c r="DL43" s="79">
        <v>5</v>
      </c>
      <c r="DM43" s="79">
        <v>1</v>
      </c>
      <c r="DN43" s="79">
        <v>1</v>
      </c>
      <c r="DO43" s="79">
        <v>1</v>
      </c>
      <c r="DP43" s="79">
        <v>2</v>
      </c>
      <c r="DQ43" s="79">
        <v>0</v>
      </c>
      <c r="DR43" s="79">
        <v>1</v>
      </c>
      <c r="DS43" s="79">
        <v>0</v>
      </c>
      <c r="DT43" s="79">
        <v>0</v>
      </c>
      <c r="DU43" s="79">
        <v>0</v>
      </c>
      <c r="DV43" s="79">
        <v>0</v>
      </c>
      <c r="DW43" s="79">
        <v>0</v>
      </c>
      <c r="DX43" s="79">
        <v>0</v>
      </c>
      <c r="DY43" s="79">
        <v>0</v>
      </c>
      <c r="DZ43" s="79">
        <v>1</v>
      </c>
      <c r="EA43" s="79">
        <v>1</v>
      </c>
      <c r="EB43" s="79">
        <v>1</v>
      </c>
      <c r="EC43" s="79">
        <v>1</v>
      </c>
      <c r="ED43" s="79">
        <v>3</v>
      </c>
      <c r="EE43" s="79">
        <v>0</v>
      </c>
      <c r="EF43" s="79">
        <v>0</v>
      </c>
      <c r="EG43" s="79">
        <v>0</v>
      </c>
      <c r="EH43" s="79">
        <v>0</v>
      </c>
      <c r="EI43" s="79">
        <v>0</v>
      </c>
      <c r="EJ43" s="79">
        <v>0</v>
      </c>
      <c r="EK43" s="79">
        <v>0</v>
      </c>
      <c r="EL43" s="79">
        <v>0</v>
      </c>
      <c r="EM43" s="79">
        <v>1</v>
      </c>
      <c r="EN43" s="79">
        <v>5</v>
      </c>
      <c r="EO43" s="79">
        <v>1</v>
      </c>
      <c r="EP43" s="79">
        <v>1</v>
      </c>
      <c r="EQ43" s="79">
        <v>2</v>
      </c>
      <c r="ER43" s="79">
        <v>1</v>
      </c>
      <c r="ES43" s="79">
        <v>1</v>
      </c>
      <c r="ET43" s="79">
        <v>0</v>
      </c>
      <c r="EU43" s="79">
        <v>0</v>
      </c>
      <c r="EV43" s="79">
        <v>0</v>
      </c>
      <c r="EW43" s="79">
        <v>0</v>
      </c>
      <c r="EX43" s="79">
        <v>2</v>
      </c>
      <c r="EY43" s="79">
        <v>0</v>
      </c>
      <c r="EZ43" s="79">
        <v>3</v>
      </c>
      <c r="FA43" s="79">
        <v>6</v>
      </c>
      <c r="FB43" s="79">
        <v>2</v>
      </c>
      <c r="FC43" s="79">
        <v>6</v>
      </c>
      <c r="FD43" s="79">
        <v>1</v>
      </c>
      <c r="FE43" s="79">
        <v>1</v>
      </c>
      <c r="FF43" s="79">
        <v>0</v>
      </c>
      <c r="FG43" s="79">
        <v>1</v>
      </c>
      <c r="FH43" s="79">
        <v>1</v>
      </c>
      <c r="FI43" s="79">
        <v>3</v>
      </c>
      <c r="FJ43" s="79">
        <v>1</v>
      </c>
      <c r="FK43" s="79">
        <v>0</v>
      </c>
    </row>
    <row r="44" spans="1:167" ht="15.75" customHeight="1" x14ac:dyDescent="0.35">
      <c r="A44" s="89" t="s">
        <v>103</v>
      </c>
      <c r="B44" s="76"/>
      <c r="C44" s="76"/>
      <c r="D44" s="76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79"/>
      <c r="AV44" s="79"/>
      <c r="AW44" s="79">
        <v>1</v>
      </c>
      <c r="AX44" s="79"/>
      <c r="AY44" s="79"/>
      <c r="AZ44" s="79"/>
      <c r="BA44" s="79">
        <f>VLOOKUP(A44,[10]stats!$A:$B,2,FALSE)</f>
        <v>1</v>
      </c>
      <c r="BB44" s="79"/>
      <c r="BC44" s="79">
        <v>1</v>
      </c>
      <c r="BD44" s="79"/>
      <c r="BE44" s="79">
        <v>0</v>
      </c>
      <c r="BF44" s="79"/>
      <c r="BG44" s="79"/>
      <c r="BH44" s="79">
        <v>0</v>
      </c>
      <c r="BI44" s="79">
        <v>1</v>
      </c>
      <c r="BJ44" s="79">
        <v>3</v>
      </c>
      <c r="BK44" s="79">
        <v>0</v>
      </c>
      <c r="BL44" s="79">
        <v>0</v>
      </c>
      <c r="BM44" s="79">
        <v>1</v>
      </c>
      <c r="BN44" s="79">
        <v>0</v>
      </c>
      <c r="BO44" s="79">
        <v>0</v>
      </c>
      <c r="BP44" s="79">
        <v>0</v>
      </c>
      <c r="BQ44" s="79">
        <v>0</v>
      </c>
      <c r="BR44" s="79">
        <v>0</v>
      </c>
      <c r="BS44" s="79">
        <v>0</v>
      </c>
      <c r="BT44" s="79">
        <v>1</v>
      </c>
      <c r="BU44" s="79">
        <v>0</v>
      </c>
      <c r="BV44" s="79">
        <v>1</v>
      </c>
      <c r="BW44" s="79">
        <v>0</v>
      </c>
      <c r="BX44" s="79">
        <v>0</v>
      </c>
      <c r="BY44" s="79">
        <v>0</v>
      </c>
      <c r="BZ44" s="79">
        <v>1</v>
      </c>
      <c r="CA44" s="79">
        <v>1</v>
      </c>
      <c r="CB44" s="79">
        <v>1</v>
      </c>
      <c r="CC44" s="79">
        <v>0</v>
      </c>
      <c r="CD44" s="79">
        <v>0</v>
      </c>
      <c r="CE44" s="79">
        <v>0</v>
      </c>
      <c r="CF44" s="79">
        <v>0</v>
      </c>
      <c r="CG44" s="79">
        <v>0</v>
      </c>
      <c r="CH44" s="79">
        <v>0</v>
      </c>
      <c r="CI44" s="79">
        <v>0</v>
      </c>
      <c r="CJ44" s="79">
        <v>0</v>
      </c>
      <c r="CK44" s="79">
        <v>0</v>
      </c>
      <c r="CL44" s="79">
        <v>1</v>
      </c>
      <c r="CM44" s="79">
        <v>1</v>
      </c>
      <c r="CN44" s="79">
        <v>0</v>
      </c>
      <c r="CO44" s="79">
        <v>0</v>
      </c>
      <c r="CP44" s="79">
        <v>1</v>
      </c>
      <c r="CQ44" s="79">
        <v>0</v>
      </c>
      <c r="CR44" s="79">
        <v>4</v>
      </c>
      <c r="CS44" s="79">
        <v>1</v>
      </c>
      <c r="CT44" s="79">
        <v>0</v>
      </c>
      <c r="CU44" s="79">
        <v>0</v>
      </c>
      <c r="CV44" s="79">
        <v>1</v>
      </c>
      <c r="CW44" s="79">
        <v>0</v>
      </c>
      <c r="CX44" s="79">
        <v>0</v>
      </c>
      <c r="CY44" s="79">
        <v>0</v>
      </c>
      <c r="CZ44" s="79">
        <v>1</v>
      </c>
      <c r="DA44" s="79">
        <v>0</v>
      </c>
      <c r="DB44" s="79">
        <v>0</v>
      </c>
      <c r="DC44" s="79">
        <v>0</v>
      </c>
      <c r="DD44" s="79">
        <v>0</v>
      </c>
      <c r="DE44" s="79">
        <v>2</v>
      </c>
      <c r="DF44" s="79">
        <v>0</v>
      </c>
      <c r="DG44" s="79">
        <v>0</v>
      </c>
      <c r="DH44" s="79">
        <v>0</v>
      </c>
      <c r="DI44" s="79">
        <v>1</v>
      </c>
      <c r="DJ44" s="79">
        <v>0</v>
      </c>
      <c r="DK44" s="79">
        <v>0</v>
      </c>
      <c r="DL44" s="79">
        <v>0</v>
      </c>
      <c r="DM44" s="79">
        <v>1</v>
      </c>
      <c r="DN44" s="79">
        <v>0</v>
      </c>
      <c r="DO44" s="79">
        <v>0</v>
      </c>
      <c r="DP44" s="79">
        <v>0</v>
      </c>
      <c r="DQ44" s="79">
        <v>1</v>
      </c>
      <c r="DR44" s="79">
        <v>1</v>
      </c>
      <c r="DS44" s="79">
        <v>0</v>
      </c>
      <c r="DT44" s="79">
        <v>0</v>
      </c>
      <c r="DU44" s="79">
        <v>1</v>
      </c>
      <c r="DV44" s="79">
        <v>1</v>
      </c>
      <c r="DW44" s="79">
        <v>0</v>
      </c>
      <c r="DX44" s="79">
        <v>1</v>
      </c>
      <c r="DY44" s="79">
        <v>0</v>
      </c>
      <c r="DZ44" s="79">
        <v>0</v>
      </c>
      <c r="EA44" s="79">
        <v>0</v>
      </c>
      <c r="EB44" s="79">
        <v>0</v>
      </c>
      <c r="EC44" s="79">
        <v>0</v>
      </c>
      <c r="ED44" s="79">
        <v>0</v>
      </c>
      <c r="EE44" s="79">
        <v>0</v>
      </c>
      <c r="EF44" s="79">
        <v>0</v>
      </c>
      <c r="EG44" s="79">
        <v>0</v>
      </c>
      <c r="EH44" s="79">
        <v>0</v>
      </c>
      <c r="EI44" s="79">
        <v>0</v>
      </c>
      <c r="EJ44" s="79">
        <v>0</v>
      </c>
      <c r="EK44" s="79">
        <v>0</v>
      </c>
      <c r="EL44" s="79">
        <v>0</v>
      </c>
      <c r="EM44" s="79">
        <v>0</v>
      </c>
      <c r="EN44" s="79">
        <v>0</v>
      </c>
      <c r="EO44" s="79">
        <v>3</v>
      </c>
      <c r="EP44" s="79">
        <v>0</v>
      </c>
      <c r="EQ44" s="79">
        <v>0</v>
      </c>
      <c r="ER44" s="79">
        <v>0</v>
      </c>
      <c r="ES44" s="79">
        <v>2</v>
      </c>
      <c r="ET44" s="79">
        <v>0</v>
      </c>
      <c r="EU44" s="79">
        <v>0</v>
      </c>
      <c r="EV44" s="79">
        <v>0</v>
      </c>
      <c r="EW44" s="79">
        <v>1</v>
      </c>
      <c r="EX44" s="79">
        <v>0</v>
      </c>
      <c r="EY44" s="79">
        <v>0</v>
      </c>
      <c r="EZ44" s="79">
        <v>3</v>
      </c>
      <c r="FA44" s="79">
        <v>0</v>
      </c>
      <c r="FB44" s="79">
        <v>0</v>
      </c>
      <c r="FC44" s="79">
        <v>0</v>
      </c>
      <c r="FD44" s="79">
        <v>1</v>
      </c>
      <c r="FE44" s="79">
        <v>1</v>
      </c>
      <c r="FF44" s="79">
        <v>1</v>
      </c>
      <c r="FG44" s="79">
        <v>0</v>
      </c>
      <c r="FH44" s="79">
        <v>0</v>
      </c>
      <c r="FI44" s="79">
        <v>0</v>
      </c>
      <c r="FJ44" s="79">
        <v>0</v>
      </c>
      <c r="FK44" s="79">
        <v>0</v>
      </c>
    </row>
    <row r="45" spans="1:167" ht="15.75" customHeight="1" x14ac:dyDescent="0.35">
      <c r="A45" s="89" t="s">
        <v>200</v>
      </c>
      <c r="B45" s="76">
        <v>5</v>
      </c>
      <c r="C45" s="76"/>
      <c r="D45" s="76"/>
      <c r="E45" s="78">
        <v>2</v>
      </c>
      <c r="F45" s="78">
        <v>5</v>
      </c>
      <c r="G45" s="78">
        <v>2</v>
      </c>
      <c r="H45" s="78">
        <v>4</v>
      </c>
      <c r="I45" s="78">
        <v>2</v>
      </c>
      <c r="J45" s="78">
        <v>6</v>
      </c>
      <c r="K45" s="78"/>
      <c r="L45" s="78">
        <v>4</v>
      </c>
      <c r="M45" s="78">
        <v>4</v>
      </c>
      <c r="N45" s="78">
        <v>4</v>
      </c>
      <c r="O45" s="78">
        <v>2</v>
      </c>
      <c r="P45" s="79">
        <v>1</v>
      </c>
      <c r="Q45" s="79">
        <v>2</v>
      </c>
      <c r="R45" s="79">
        <v>1</v>
      </c>
      <c r="S45" s="79">
        <v>4</v>
      </c>
      <c r="T45" s="79"/>
      <c r="U45" s="79">
        <v>3</v>
      </c>
      <c r="V45" s="79">
        <v>3</v>
      </c>
      <c r="W45" s="79">
        <v>3</v>
      </c>
      <c r="X45" s="79"/>
      <c r="Y45" s="79">
        <v>2</v>
      </c>
      <c r="Z45" s="79">
        <v>2</v>
      </c>
      <c r="AA45" s="79">
        <v>2</v>
      </c>
      <c r="AB45" s="79">
        <v>1</v>
      </c>
      <c r="AC45" s="79">
        <v>4</v>
      </c>
      <c r="AD45" s="79">
        <v>5</v>
      </c>
      <c r="AE45" s="79">
        <v>3</v>
      </c>
      <c r="AF45" s="79">
        <v>4</v>
      </c>
      <c r="AG45" s="79">
        <v>1</v>
      </c>
      <c r="AH45" s="79">
        <v>3</v>
      </c>
      <c r="AI45" s="79"/>
      <c r="AJ45" s="79"/>
      <c r="AK45" s="79">
        <v>1</v>
      </c>
      <c r="AL45" s="79">
        <f>VLOOKUP(A45,[11]Sheet1!$A:$B,2,FALSE)</f>
        <v>4</v>
      </c>
      <c r="AM45" s="79">
        <v>2</v>
      </c>
      <c r="AN45" s="79">
        <f>VLOOKUP(A45,[12]Sheet2!$A:$B,2,FALSE)</f>
        <v>3</v>
      </c>
      <c r="AO45" s="79">
        <v>5</v>
      </c>
      <c r="AP45" s="79">
        <v>7</v>
      </c>
      <c r="AQ45" s="79">
        <v>6</v>
      </c>
      <c r="AR45" s="79">
        <v>4</v>
      </c>
      <c r="AS45" s="79">
        <v>2</v>
      </c>
      <c r="AT45" s="79"/>
      <c r="AU45" s="79">
        <v>1</v>
      </c>
      <c r="AV45" s="79">
        <v>3</v>
      </c>
      <c r="AW45" s="79">
        <v>8</v>
      </c>
      <c r="AX45" s="79"/>
      <c r="AY45" s="79">
        <f>VLOOKUP(A45,[8]Sheet1!$A:$B,2,FALSE)</f>
        <v>5</v>
      </c>
      <c r="AZ45" s="79">
        <f>VLOOKUP(A45,[9]Sheet2!$A:$B,2,FALSE)</f>
        <v>8</v>
      </c>
      <c r="BA45" s="79">
        <f>VLOOKUP(A45,[10]stats!$A:$B,2,FALSE)</f>
        <v>4</v>
      </c>
      <c r="BB45" s="79">
        <v>2</v>
      </c>
      <c r="BC45" s="79">
        <v>10</v>
      </c>
      <c r="BD45" s="79">
        <v>7</v>
      </c>
      <c r="BE45" s="79">
        <v>5</v>
      </c>
      <c r="BF45" s="79">
        <v>4</v>
      </c>
      <c r="BG45" s="79">
        <v>5</v>
      </c>
      <c r="BH45" s="79">
        <v>4</v>
      </c>
      <c r="BI45" s="79">
        <v>4</v>
      </c>
      <c r="BJ45" s="79">
        <v>4</v>
      </c>
      <c r="BK45" s="79">
        <v>2</v>
      </c>
      <c r="BL45" s="79">
        <v>5</v>
      </c>
      <c r="BM45" s="79">
        <v>3</v>
      </c>
      <c r="BN45" s="79">
        <v>7</v>
      </c>
      <c r="BO45" s="79">
        <v>10</v>
      </c>
      <c r="BP45" s="79">
        <v>10</v>
      </c>
      <c r="BQ45" s="79">
        <v>5</v>
      </c>
      <c r="BR45" s="79">
        <v>10</v>
      </c>
      <c r="BS45" s="79">
        <v>8</v>
      </c>
      <c r="BT45" s="79">
        <v>5</v>
      </c>
      <c r="BU45" s="79">
        <v>7</v>
      </c>
      <c r="BV45" s="79">
        <v>4</v>
      </c>
      <c r="BW45" s="79">
        <v>8</v>
      </c>
      <c r="BX45" s="79">
        <v>6</v>
      </c>
      <c r="BY45" s="79">
        <v>10</v>
      </c>
      <c r="BZ45" s="79">
        <v>8</v>
      </c>
      <c r="CA45" s="79">
        <v>7</v>
      </c>
      <c r="CB45" s="79">
        <v>4</v>
      </c>
      <c r="CC45" s="79">
        <v>5</v>
      </c>
      <c r="CD45" s="79">
        <v>9</v>
      </c>
      <c r="CE45" s="79">
        <v>5</v>
      </c>
      <c r="CF45" s="79">
        <v>3</v>
      </c>
      <c r="CG45" s="79">
        <v>2</v>
      </c>
      <c r="CH45" s="79">
        <v>0</v>
      </c>
      <c r="CI45" s="79">
        <v>2</v>
      </c>
      <c r="CJ45" s="79">
        <v>0</v>
      </c>
      <c r="CK45" s="79">
        <v>1</v>
      </c>
      <c r="CL45" s="79">
        <v>15</v>
      </c>
      <c r="CM45" s="79">
        <v>8</v>
      </c>
      <c r="CN45" s="79">
        <v>12</v>
      </c>
      <c r="CO45" s="79">
        <v>9</v>
      </c>
      <c r="CP45" s="79">
        <v>7</v>
      </c>
      <c r="CQ45" s="79">
        <v>6</v>
      </c>
      <c r="CR45" s="79">
        <v>0</v>
      </c>
      <c r="CS45" s="79">
        <v>7</v>
      </c>
      <c r="CT45" s="79">
        <v>2</v>
      </c>
      <c r="CU45" s="79">
        <v>6</v>
      </c>
      <c r="CV45" s="79">
        <v>1</v>
      </c>
      <c r="CW45" s="79">
        <v>10</v>
      </c>
      <c r="CX45" s="79">
        <v>7</v>
      </c>
      <c r="CY45" s="79">
        <v>3</v>
      </c>
      <c r="CZ45" s="79">
        <v>2</v>
      </c>
      <c r="DA45" s="79">
        <v>0</v>
      </c>
      <c r="DB45" s="79">
        <v>4</v>
      </c>
      <c r="DC45" s="79">
        <v>5</v>
      </c>
      <c r="DD45" s="79">
        <v>3</v>
      </c>
      <c r="DE45" s="79">
        <v>7</v>
      </c>
      <c r="DF45" s="79">
        <v>6</v>
      </c>
      <c r="DG45" s="79">
        <v>4</v>
      </c>
      <c r="DH45" s="79">
        <v>11</v>
      </c>
      <c r="DI45" s="79">
        <v>6</v>
      </c>
      <c r="DJ45" s="79">
        <v>6</v>
      </c>
      <c r="DK45" s="79">
        <v>5</v>
      </c>
      <c r="DL45" s="79">
        <v>5</v>
      </c>
      <c r="DM45" s="79">
        <v>5</v>
      </c>
      <c r="DN45" s="79">
        <v>6</v>
      </c>
      <c r="DO45" s="79">
        <v>7</v>
      </c>
      <c r="DP45" s="79">
        <v>5</v>
      </c>
      <c r="DQ45" s="79">
        <v>5</v>
      </c>
      <c r="DR45" s="79">
        <v>7</v>
      </c>
      <c r="DS45" s="79">
        <v>10</v>
      </c>
      <c r="DT45" s="79">
        <v>8</v>
      </c>
      <c r="DU45" s="79">
        <v>11</v>
      </c>
      <c r="DV45" s="79">
        <v>14</v>
      </c>
      <c r="DW45" s="79">
        <v>10</v>
      </c>
      <c r="DX45" s="79">
        <v>10</v>
      </c>
      <c r="DY45" s="79">
        <v>6</v>
      </c>
      <c r="DZ45" s="79">
        <v>7</v>
      </c>
      <c r="EA45" s="79">
        <v>4</v>
      </c>
      <c r="EB45" s="79">
        <v>2</v>
      </c>
      <c r="EC45" s="79">
        <v>2</v>
      </c>
      <c r="ED45" s="79">
        <v>14</v>
      </c>
      <c r="EE45" s="79">
        <v>0</v>
      </c>
      <c r="EF45" s="79">
        <v>0</v>
      </c>
      <c r="EG45" s="79">
        <v>1</v>
      </c>
      <c r="EH45" s="79">
        <v>2</v>
      </c>
      <c r="EI45" s="79">
        <v>0</v>
      </c>
      <c r="EJ45" s="79">
        <v>0</v>
      </c>
      <c r="EK45" s="79">
        <v>2</v>
      </c>
      <c r="EL45" s="79">
        <v>5</v>
      </c>
      <c r="EM45" s="79">
        <v>1</v>
      </c>
      <c r="EN45" s="79">
        <v>0</v>
      </c>
      <c r="EO45" s="79">
        <v>6</v>
      </c>
      <c r="EP45" s="79">
        <v>5</v>
      </c>
      <c r="EQ45" s="79">
        <v>10</v>
      </c>
      <c r="ER45" s="79">
        <v>7</v>
      </c>
      <c r="ES45" s="79">
        <v>4</v>
      </c>
      <c r="ET45" s="79">
        <v>8</v>
      </c>
      <c r="EU45" s="79">
        <v>6</v>
      </c>
      <c r="EV45" s="79">
        <v>8</v>
      </c>
      <c r="EW45" s="79">
        <v>6</v>
      </c>
      <c r="EX45" s="79">
        <v>9</v>
      </c>
      <c r="EY45" s="79">
        <v>0</v>
      </c>
      <c r="EZ45" s="79">
        <v>18</v>
      </c>
      <c r="FA45" s="79">
        <v>3</v>
      </c>
      <c r="FB45" s="79">
        <v>8</v>
      </c>
      <c r="FC45" s="79">
        <v>4</v>
      </c>
      <c r="FD45" s="79">
        <v>4</v>
      </c>
      <c r="FE45" s="79">
        <v>3</v>
      </c>
      <c r="FF45" s="79">
        <v>7</v>
      </c>
      <c r="FG45" s="79">
        <v>15</v>
      </c>
      <c r="FH45" s="79">
        <v>2</v>
      </c>
      <c r="FI45" s="79">
        <v>8</v>
      </c>
      <c r="FJ45" s="79">
        <v>7</v>
      </c>
      <c r="FK45" s="79">
        <v>2</v>
      </c>
    </row>
    <row r="46" spans="1:167" ht="15.75" hidden="1" customHeight="1" x14ac:dyDescent="0.35">
      <c r="A46" s="89" t="s">
        <v>222</v>
      </c>
      <c r="B46" s="76"/>
      <c r="C46" s="76"/>
      <c r="D46" s="76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/>
      <c r="AT46" s="79"/>
      <c r="AU46" s="79"/>
      <c r="AV46" s="79"/>
      <c r="AW46" s="79"/>
      <c r="AX46" s="79"/>
      <c r="AY46" s="79"/>
      <c r="AZ46" s="79"/>
      <c r="BA46" s="79"/>
      <c r="BB46" s="79"/>
      <c r="BC46" s="79"/>
      <c r="BD46" s="79"/>
      <c r="BE46" s="79"/>
      <c r="BF46" s="79"/>
      <c r="BG46" s="79"/>
      <c r="BH46" s="79"/>
      <c r="BI46" s="79"/>
      <c r="BJ46" s="79"/>
      <c r="BK46" s="79"/>
      <c r="BL46" s="79"/>
      <c r="BM46" s="79"/>
      <c r="BN46" s="79"/>
      <c r="BO46" s="79"/>
      <c r="BP46" s="79"/>
      <c r="BQ46" s="79"/>
      <c r="BR46" s="79"/>
      <c r="BS46" s="79"/>
      <c r="BT46" s="79"/>
      <c r="BU46" s="79"/>
      <c r="BV46" s="79"/>
      <c r="BW46" s="79"/>
      <c r="BX46" s="79"/>
      <c r="BY46" s="79"/>
      <c r="BZ46" s="79"/>
      <c r="CA46" s="79"/>
      <c r="CB46" s="79"/>
      <c r="CC46" s="79"/>
      <c r="CD46" s="79"/>
      <c r="CE46" s="79"/>
      <c r="CF46" s="79"/>
      <c r="CG46" s="79"/>
      <c r="CH46" s="79"/>
      <c r="CI46" s="79"/>
      <c r="CJ46" s="79"/>
      <c r="CK46" s="79"/>
      <c r="CL46" s="79"/>
      <c r="CM46" s="79"/>
      <c r="CN46" s="79"/>
      <c r="CO46" s="79"/>
      <c r="CP46" s="79"/>
      <c r="CQ46" s="79"/>
      <c r="CR46" s="79"/>
      <c r="CS46" s="79"/>
      <c r="CT46" s="79"/>
      <c r="CU46" s="79"/>
      <c r="CV46" s="79"/>
      <c r="CW46" s="79"/>
      <c r="CX46" s="79"/>
      <c r="CY46" s="79"/>
      <c r="CZ46" s="79"/>
      <c r="DA46" s="79"/>
      <c r="DB46" s="79"/>
      <c r="DC46" s="79"/>
      <c r="DD46" s="79"/>
      <c r="DE46" s="79"/>
      <c r="DF46" s="79"/>
      <c r="DG46" s="79"/>
      <c r="DH46" s="79"/>
      <c r="DI46" s="79"/>
      <c r="DJ46" s="79"/>
      <c r="DK46" s="79"/>
      <c r="DL46" s="79"/>
      <c r="DM46" s="79"/>
      <c r="DN46" s="79"/>
      <c r="DO46" s="79"/>
      <c r="DP46" s="79"/>
      <c r="DQ46" s="79"/>
      <c r="DR46" s="79"/>
      <c r="DS46" s="79"/>
      <c r="DT46" s="79"/>
      <c r="DU46" s="79"/>
      <c r="DV46" s="79"/>
      <c r="DW46" s="79"/>
      <c r="DX46" s="79"/>
      <c r="DY46" s="79"/>
      <c r="DZ46" s="79"/>
      <c r="EA46" s="79"/>
      <c r="EB46" s="79"/>
      <c r="EC46" s="79"/>
      <c r="ED46" s="79"/>
      <c r="EE46" s="79"/>
      <c r="EF46" s="79"/>
      <c r="EG46" s="79"/>
      <c r="EH46" s="79"/>
      <c r="EI46" s="79"/>
      <c r="EJ46" s="79">
        <v>0</v>
      </c>
      <c r="EK46" s="79">
        <v>0</v>
      </c>
      <c r="EL46" s="79">
        <v>0</v>
      </c>
      <c r="EM46" s="79">
        <v>0</v>
      </c>
      <c r="EN46" s="79">
        <v>0</v>
      </c>
      <c r="EO46" s="79">
        <v>0</v>
      </c>
      <c r="EP46" s="79">
        <v>0</v>
      </c>
      <c r="EQ46" s="79">
        <v>1</v>
      </c>
      <c r="ER46" s="79">
        <v>1</v>
      </c>
      <c r="ES46" s="79">
        <v>2</v>
      </c>
      <c r="ET46" s="79">
        <v>1</v>
      </c>
      <c r="EU46" s="79">
        <v>0</v>
      </c>
      <c r="EV46" s="79">
        <v>0</v>
      </c>
      <c r="EW46" s="79">
        <v>0</v>
      </c>
      <c r="EX46" s="79">
        <v>0</v>
      </c>
      <c r="EY46" s="79">
        <v>0</v>
      </c>
      <c r="EZ46" s="79">
        <v>0</v>
      </c>
      <c r="FA46" s="79">
        <v>2</v>
      </c>
      <c r="FB46" s="79">
        <v>2</v>
      </c>
      <c r="FC46" s="79">
        <v>2</v>
      </c>
      <c r="FD46" s="79">
        <v>2</v>
      </c>
      <c r="FE46" s="79">
        <v>3</v>
      </c>
      <c r="FF46" s="79">
        <v>2</v>
      </c>
      <c r="FG46" s="79">
        <v>5</v>
      </c>
      <c r="FH46" s="79">
        <v>3</v>
      </c>
      <c r="FI46" s="79">
        <v>0</v>
      </c>
      <c r="FJ46" s="79">
        <v>0</v>
      </c>
      <c r="FK46" s="79">
        <v>2</v>
      </c>
    </row>
    <row r="47" spans="1:167" ht="15.75" customHeight="1" x14ac:dyDescent="0.35">
      <c r="A47" s="89" t="s">
        <v>104</v>
      </c>
      <c r="B47" s="76"/>
      <c r="C47" s="76"/>
      <c r="D47" s="76"/>
      <c r="E47" s="76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>
        <v>1</v>
      </c>
      <c r="AM47" s="79"/>
      <c r="AN47" s="79"/>
      <c r="AO47" s="79"/>
      <c r="AP47" s="79"/>
      <c r="AQ47" s="79"/>
      <c r="AR47" s="79">
        <v>1</v>
      </c>
      <c r="AS47" s="79">
        <v>1</v>
      </c>
      <c r="AT47" s="79">
        <v>2</v>
      </c>
      <c r="AU47" s="79"/>
      <c r="AV47" s="79"/>
      <c r="AW47" s="79">
        <v>1</v>
      </c>
      <c r="AX47" s="79"/>
      <c r="AY47" s="79"/>
      <c r="AZ47" s="79">
        <f>VLOOKUP(A47,[9]Sheet2!$A:$B,2,FALSE)</f>
        <v>1</v>
      </c>
      <c r="BA47" s="79"/>
      <c r="BB47" s="79">
        <v>1</v>
      </c>
      <c r="BC47" s="79"/>
      <c r="BD47" s="79"/>
      <c r="BE47" s="79">
        <v>0</v>
      </c>
      <c r="BF47" s="79"/>
      <c r="BG47" s="79"/>
      <c r="BH47" s="79">
        <v>1</v>
      </c>
      <c r="BI47" s="79">
        <v>1</v>
      </c>
      <c r="BJ47" s="79">
        <v>2</v>
      </c>
      <c r="BK47" s="79">
        <v>0</v>
      </c>
      <c r="BL47" s="79">
        <v>3</v>
      </c>
      <c r="BM47" s="79">
        <v>1</v>
      </c>
      <c r="BN47" s="79">
        <v>0</v>
      </c>
      <c r="BO47" s="79">
        <v>0</v>
      </c>
      <c r="BP47" s="79">
        <v>0</v>
      </c>
      <c r="BQ47" s="79">
        <v>0</v>
      </c>
      <c r="BR47" s="79">
        <v>1</v>
      </c>
      <c r="BS47" s="79">
        <v>0</v>
      </c>
      <c r="BT47" s="79">
        <v>0</v>
      </c>
      <c r="BU47" s="79">
        <v>2</v>
      </c>
      <c r="BV47" s="79">
        <v>2</v>
      </c>
      <c r="BW47" s="79">
        <v>0</v>
      </c>
      <c r="BX47" s="79">
        <v>1</v>
      </c>
      <c r="BY47" s="79">
        <v>1</v>
      </c>
      <c r="BZ47" s="79">
        <v>2</v>
      </c>
      <c r="CA47" s="79">
        <v>0</v>
      </c>
      <c r="CB47" s="79">
        <v>1</v>
      </c>
      <c r="CC47" s="79">
        <v>0</v>
      </c>
      <c r="CD47" s="79">
        <v>0</v>
      </c>
      <c r="CE47" s="79">
        <v>0</v>
      </c>
      <c r="CF47" s="79">
        <v>1</v>
      </c>
      <c r="CG47" s="79">
        <v>1</v>
      </c>
      <c r="CH47" s="79">
        <v>1</v>
      </c>
      <c r="CI47" s="79">
        <v>0</v>
      </c>
      <c r="CJ47" s="79">
        <v>0</v>
      </c>
      <c r="CK47" s="79">
        <v>0</v>
      </c>
      <c r="CL47" s="79">
        <v>0</v>
      </c>
      <c r="CM47" s="79">
        <v>1</v>
      </c>
      <c r="CN47" s="79">
        <v>0</v>
      </c>
      <c r="CO47" s="79">
        <v>0</v>
      </c>
      <c r="CP47" s="79">
        <v>1</v>
      </c>
      <c r="CQ47" s="79">
        <v>0</v>
      </c>
      <c r="CR47" s="79">
        <v>0</v>
      </c>
      <c r="CS47" s="79">
        <v>0</v>
      </c>
      <c r="CT47" s="79">
        <v>1</v>
      </c>
      <c r="CU47" s="79">
        <v>1</v>
      </c>
      <c r="CV47" s="79">
        <v>2</v>
      </c>
      <c r="CW47" s="79">
        <v>2</v>
      </c>
      <c r="CX47" s="79">
        <v>1</v>
      </c>
      <c r="CY47" s="79">
        <v>1</v>
      </c>
      <c r="CZ47" s="79">
        <v>1</v>
      </c>
      <c r="DA47" s="79">
        <v>0</v>
      </c>
      <c r="DB47" s="79">
        <v>0</v>
      </c>
      <c r="DC47" s="79">
        <v>1</v>
      </c>
      <c r="DD47" s="79">
        <v>0</v>
      </c>
      <c r="DE47" s="79">
        <v>1</v>
      </c>
      <c r="DF47" s="79">
        <v>0</v>
      </c>
      <c r="DG47" s="79">
        <v>1</v>
      </c>
      <c r="DH47" s="79">
        <v>0</v>
      </c>
      <c r="DI47" s="79">
        <v>2</v>
      </c>
      <c r="DJ47" s="79">
        <v>1</v>
      </c>
      <c r="DK47" s="79">
        <v>1</v>
      </c>
      <c r="DL47" s="79">
        <v>3</v>
      </c>
      <c r="DM47" s="79">
        <v>3</v>
      </c>
      <c r="DN47" s="79">
        <v>1</v>
      </c>
      <c r="DO47" s="79">
        <v>1</v>
      </c>
      <c r="DP47" s="79">
        <v>0</v>
      </c>
      <c r="DQ47" s="79">
        <v>1</v>
      </c>
      <c r="DR47" s="79">
        <v>4</v>
      </c>
      <c r="DS47" s="79">
        <v>1</v>
      </c>
      <c r="DT47" s="79">
        <v>1</v>
      </c>
      <c r="DU47" s="79">
        <v>1</v>
      </c>
      <c r="DV47" s="79">
        <v>2</v>
      </c>
      <c r="DW47" s="79">
        <v>2</v>
      </c>
      <c r="DX47" s="79">
        <v>0</v>
      </c>
      <c r="DY47" s="79">
        <v>6</v>
      </c>
      <c r="DZ47" s="79">
        <v>1</v>
      </c>
      <c r="EA47" s="79">
        <v>6</v>
      </c>
      <c r="EB47" s="79">
        <v>1</v>
      </c>
      <c r="EC47" s="79">
        <v>1</v>
      </c>
      <c r="ED47" s="79">
        <v>6</v>
      </c>
      <c r="EE47" s="79">
        <v>2</v>
      </c>
      <c r="EF47" s="79">
        <v>0</v>
      </c>
      <c r="EG47" s="79">
        <v>0</v>
      </c>
      <c r="EH47" s="79">
        <v>0</v>
      </c>
      <c r="EI47" s="79">
        <v>0</v>
      </c>
      <c r="EJ47" s="79">
        <v>0</v>
      </c>
      <c r="EK47" s="79">
        <v>0</v>
      </c>
      <c r="EL47" s="79">
        <v>1</v>
      </c>
      <c r="EM47" s="79">
        <v>2</v>
      </c>
      <c r="EN47" s="79">
        <v>7</v>
      </c>
      <c r="EO47" s="79">
        <v>5</v>
      </c>
      <c r="EP47" s="79">
        <v>4</v>
      </c>
      <c r="EQ47" s="79">
        <v>5</v>
      </c>
      <c r="ER47" s="79">
        <v>4</v>
      </c>
      <c r="ES47" s="79">
        <v>2</v>
      </c>
      <c r="ET47" s="79">
        <v>2</v>
      </c>
      <c r="EU47" s="79">
        <v>2</v>
      </c>
      <c r="EV47" s="79">
        <v>3</v>
      </c>
      <c r="EW47" s="79">
        <v>3</v>
      </c>
      <c r="EX47" s="79">
        <v>0</v>
      </c>
      <c r="EY47" s="79">
        <v>0</v>
      </c>
      <c r="EZ47" s="79">
        <v>3</v>
      </c>
      <c r="FA47" s="79">
        <v>4</v>
      </c>
      <c r="FB47" s="79">
        <v>1</v>
      </c>
      <c r="FC47" s="79">
        <v>1</v>
      </c>
      <c r="FD47" s="79">
        <v>2</v>
      </c>
      <c r="FE47" s="79">
        <v>2</v>
      </c>
      <c r="FF47" s="79">
        <v>0</v>
      </c>
      <c r="FG47" s="79">
        <v>2</v>
      </c>
      <c r="FH47" s="79">
        <v>9</v>
      </c>
      <c r="FI47" s="79">
        <v>7</v>
      </c>
      <c r="FJ47" s="79">
        <v>7</v>
      </c>
      <c r="FK47" s="79">
        <v>1</v>
      </c>
    </row>
    <row r="48" spans="1:167" ht="15.75" customHeight="1" x14ac:dyDescent="0.35">
      <c r="A48" s="89" t="s">
        <v>102</v>
      </c>
      <c r="B48" s="76"/>
      <c r="C48" s="76"/>
      <c r="D48" s="76"/>
      <c r="E48" s="76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79"/>
      <c r="AV48" s="79"/>
      <c r="AW48" s="79"/>
      <c r="AX48" s="79"/>
      <c r="AY48" s="79"/>
      <c r="AZ48" s="79"/>
      <c r="BA48" s="79"/>
      <c r="BB48" s="79">
        <v>1</v>
      </c>
      <c r="BC48" s="79">
        <v>2</v>
      </c>
      <c r="BD48" s="79">
        <v>2</v>
      </c>
      <c r="BE48" s="79">
        <v>5</v>
      </c>
      <c r="BF48" s="79">
        <v>3</v>
      </c>
      <c r="BG48" s="79">
        <v>2</v>
      </c>
      <c r="BH48" s="79">
        <v>1</v>
      </c>
      <c r="BI48" s="79">
        <v>7</v>
      </c>
      <c r="BJ48" s="79">
        <v>6</v>
      </c>
      <c r="BK48" s="79">
        <v>3</v>
      </c>
      <c r="BL48" s="79">
        <v>7</v>
      </c>
      <c r="BM48" s="79">
        <v>3</v>
      </c>
      <c r="BN48" s="79">
        <v>2</v>
      </c>
      <c r="BO48" s="79">
        <v>3</v>
      </c>
      <c r="BP48" s="79">
        <v>3</v>
      </c>
      <c r="BQ48" s="79">
        <v>9</v>
      </c>
      <c r="BR48" s="79">
        <v>12</v>
      </c>
      <c r="BS48" s="79">
        <v>4</v>
      </c>
      <c r="BT48" s="79">
        <v>9</v>
      </c>
      <c r="BU48" s="79">
        <v>8</v>
      </c>
      <c r="BV48" s="79">
        <v>6</v>
      </c>
      <c r="BW48" s="79">
        <v>11</v>
      </c>
      <c r="BX48" s="79">
        <v>7</v>
      </c>
      <c r="BY48" s="79">
        <v>7</v>
      </c>
      <c r="BZ48" s="79">
        <v>6</v>
      </c>
      <c r="CA48" s="79">
        <v>0</v>
      </c>
      <c r="CB48" s="79">
        <v>3</v>
      </c>
      <c r="CC48" s="79">
        <v>2</v>
      </c>
      <c r="CD48" s="79">
        <v>2</v>
      </c>
      <c r="CE48" s="79">
        <v>2</v>
      </c>
      <c r="CF48" s="79">
        <v>0</v>
      </c>
      <c r="CG48" s="79">
        <v>0</v>
      </c>
      <c r="CH48" s="79">
        <v>1</v>
      </c>
      <c r="CI48" s="79">
        <v>1</v>
      </c>
      <c r="CJ48" s="79">
        <v>0</v>
      </c>
      <c r="CK48" s="79">
        <v>0</v>
      </c>
      <c r="CL48" s="79">
        <v>3</v>
      </c>
      <c r="CM48" s="79">
        <v>2</v>
      </c>
      <c r="CN48" s="79">
        <v>0</v>
      </c>
      <c r="CO48" s="79">
        <v>0</v>
      </c>
      <c r="CP48" s="79">
        <v>3</v>
      </c>
      <c r="CQ48" s="79">
        <v>3</v>
      </c>
      <c r="CR48" s="79">
        <v>3</v>
      </c>
      <c r="CS48" s="79">
        <v>0</v>
      </c>
      <c r="CT48" s="79">
        <v>1</v>
      </c>
      <c r="CU48" s="79">
        <v>1</v>
      </c>
      <c r="CV48" s="79">
        <v>11</v>
      </c>
      <c r="CW48" s="79">
        <v>18</v>
      </c>
      <c r="CX48" s="79">
        <v>23</v>
      </c>
      <c r="CY48" s="79">
        <v>11</v>
      </c>
      <c r="CZ48" s="79">
        <v>3</v>
      </c>
      <c r="DA48" s="79">
        <v>5</v>
      </c>
      <c r="DB48" s="79">
        <v>0</v>
      </c>
      <c r="DC48" s="79">
        <v>4</v>
      </c>
      <c r="DD48" s="79">
        <v>8</v>
      </c>
      <c r="DE48" s="79">
        <v>7</v>
      </c>
      <c r="DF48" s="79">
        <v>2</v>
      </c>
      <c r="DG48" s="79">
        <v>22</v>
      </c>
      <c r="DH48" s="79">
        <v>20</v>
      </c>
      <c r="DI48" s="79">
        <v>10</v>
      </c>
      <c r="DJ48" s="79">
        <v>6</v>
      </c>
      <c r="DK48" s="79">
        <v>4</v>
      </c>
      <c r="DL48" s="79">
        <v>14</v>
      </c>
      <c r="DM48" s="79">
        <v>5</v>
      </c>
      <c r="DN48" s="79">
        <v>3</v>
      </c>
      <c r="DO48" s="79">
        <v>3</v>
      </c>
      <c r="DP48" s="79">
        <v>4</v>
      </c>
      <c r="DQ48" s="79">
        <v>4</v>
      </c>
      <c r="DR48" s="79">
        <v>5</v>
      </c>
      <c r="DS48" s="79">
        <v>0</v>
      </c>
      <c r="DT48" s="79">
        <v>5</v>
      </c>
      <c r="DU48" s="79">
        <v>11</v>
      </c>
      <c r="DV48" s="79">
        <v>9</v>
      </c>
      <c r="DW48" s="79">
        <v>7</v>
      </c>
      <c r="DX48" s="79">
        <v>2</v>
      </c>
      <c r="DY48" s="79">
        <v>6</v>
      </c>
      <c r="DZ48" s="79">
        <v>12</v>
      </c>
      <c r="EA48" s="79">
        <v>9</v>
      </c>
      <c r="EB48" s="79">
        <v>2</v>
      </c>
      <c r="EC48" s="79">
        <v>8</v>
      </c>
      <c r="ED48" s="79">
        <v>13</v>
      </c>
      <c r="EE48" s="79">
        <v>2</v>
      </c>
      <c r="EF48" s="79">
        <v>1</v>
      </c>
      <c r="EG48" s="79">
        <v>2</v>
      </c>
      <c r="EH48" s="79">
        <v>3</v>
      </c>
      <c r="EI48" s="79">
        <v>1</v>
      </c>
      <c r="EJ48" s="79">
        <v>1</v>
      </c>
      <c r="EK48" s="79">
        <v>0</v>
      </c>
      <c r="EL48" s="79">
        <v>6</v>
      </c>
      <c r="EM48" s="79">
        <v>4</v>
      </c>
      <c r="EN48" s="79">
        <v>5</v>
      </c>
      <c r="EO48" s="79">
        <v>1</v>
      </c>
      <c r="EP48" s="79">
        <v>3</v>
      </c>
      <c r="EQ48" s="79">
        <v>7</v>
      </c>
      <c r="ER48" s="79">
        <v>4</v>
      </c>
      <c r="ES48" s="79">
        <v>5</v>
      </c>
      <c r="ET48" s="79">
        <v>11</v>
      </c>
      <c r="EU48" s="79">
        <v>5</v>
      </c>
      <c r="EV48" s="79">
        <v>5</v>
      </c>
      <c r="EW48" s="79">
        <v>3</v>
      </c>
      <c r="EX48" s="79">
        <v>2</v>
      </c>
      <c r="EY48" s="79">
        <v>2</v>
      </c>
      <c r="EZ48" s="79">
        <v>3</v>
      </c>
      <c r="FA48" s="79">
        <v>4</v>
      </c>
      <c r="FB48" s="79">
        <v>1</v>
      </c>
      <c r="FC48" s="79">
        <v>3</v>
      </c>
      <c r="FD48" s="79">
        <v>7</v>
      </c>
      <c r="FE48" s="79">
        <v>9</v>
      </c>
      <c r="FF48" s="79">
        <v>2</v>
      </c>
      <c r="FG48" s="79">
        <v>7</v>
      </c>
      <c r="FH48" s="79">
        <v>2</v>
      </c>
      <c r="FI48" s="79">
        <v>3</v>
      </c>
      <c r="FJ48" s="79">
        <v>1</v>
      </c>
      <c r="FK48" s="79">
        <v>4</v>
      </c>
    </row>
    <row r="49" spans="1:167" ht="15.75" customHeight="1" x14ac:dyDescent="0.35">
      <c r="A49" s="89" t="s">
        <v>101</v>
      </c>
      <c r="B49" s="76">
        <v>6</v>
      </c>
      <c r="C49" s="76">
        <v>7</v>
      </c>
      <c r="D49" s="76">
        <v>9</v>
      </c>
      <c r="E49" s="78">
        <v>11</v>
      </c>
      <c r="F49" s="78">
        <v>8</v>
      </c>
      <c r="G49" s="78">
        <v>9</v>
      </c>
      <c r="H49" s="78">
        <v>9</v>
      </c>
      <c r="I49" s="78">
        <v>9</v>
      </c>
      <c r="J49" s="78">
        <v>4</v>
      </c>
      <c r="K49" s="78">
        <v>6</v>
      </c>
      <c r="L49" s="78">
        <v>3</v>
      </c>
      <c r="M49" s="78">
        <v>6</v>
      </c>
      <c r="N49" s="78">
        <v>1</v>
      </c>
      <c r="O49" s="78">
        <v>1</v>
      </c>
      <c r="P49" s="79">
        <v>1</v>
      </c>
      <c r="Q49" s="79">
        <v>3</v>
      </c>
      <c r="R49" s="79">
        <v>3</v>
      </c>
      <c r="S49" s="79"/>
      <c r="T49" s="79">
        <v>4</v>
      </c>
      <c r="U49" s="79">
        <v>4</v>
      </c>
      <c r="V49" s="79">
        <v>2</v>
      </c>
      <c r="W49" s="79">
        <v>1</v>
      </c>
      <c r="X49" s="79">
        <v>5</v>
      </c>
      <c r="Y49" s="79">
        <v>2</v>
      </c>
      <c r="Z49" s="79">
        <v>6</v>
      </c>
      <c r="AA49" s="79"/>
      <c r="AB49" s="79"/>
      <c r="AC49" s="79">
        <v>1</v>
      </c>
      <c r="AD49" s="79">
        <v>3</v>
      </c>
      <c r="AE49" s="79">
        <v>4</v>
      </c>
      <c r="AF49" s="79">
        <v>5</v>
      </c>
      <c r="AG49" s="79">
        <v>5</v>
      </c>
      <c r="AH49" s="79">
        <v>3</v>
      </c>
      <c r="AI49" s="79">
        <v>4</v>
      </c>
      <c r="AJ49" s="79"/>
      <c r="AK49" s="79">
        <v>5</v>
      </c>
      <c r="AL49" s="79">
        <f>VLOOKUP(A49,[11]Sheet1!$A:$B,2,FALSE)</f>
        <v>3</v>
      </c>
      <c r="AM49" s="79">
        <v>8</v>
      </c>
      <c r="AN49" s="79">
        <f>VLOOKUP(A49,[12]Sheet2!$A:$B,2,FALSE)</f>
        <v>2</v>
      </c>
      <c r="AO49" s="79"/>
      <c r="AP49" s="79"/>
      <c r="AQ49" s="79">
        <v>2</v>
      </c>
      <c r="AR49" s="79">
        <v>2</v>
      </c>
      <c r="AS49" s="79">
        <v>1</v>
      </c>
      <c r="AT49" s="79">
        <v>5</v>
      </c>
      <c r="AU49" s="79">
        <v>1</v>
      </c>
      <c r="AV49" s="79">
        <v>1</v>
      </c>
      <c r="AW49" s="79"/>
      <c r="AX49" s="79"/>
      <c r="AY49" s="79">
        <f>VLOOKUP(A49,[8]Sheet1!$A:$B,2,FALSE)</f>
        <v>1</v>
      </c>
      <c r="AZ49" s="79">
        <f>VLOOKUP(A49,[9]Sheet2!$A:$B,2,FALSE)</f>
        <v>2</v>
      </c>
      <c r="BA49" s="79">
        <f>VLOOKUP(A49,[10]stats!$A:$B,2,FALSE)</f>
        <v>1</v>
      </c>
      <c r="BB49" s="79">
        <v>2</v>
      </c>
      <c r="BC49" s="79">
        <v>1</v>
      </c>
      <c r="BD49" s="79">
        <v>2</v>
      </c>
      <c r="BE49" s="79">
        <v>1</v>
      </c>
      <c r="BF49" s="79"/>
      <c r="BG49" s="79">
        <v>10</v>
      </c>
      <c r="BH49" s="79">
        <v>6</v>
      </c>
      <c r="BI49" s="79">
        <v>3</v>
      </c>
      <c r="BJ49" s="79">
        <v>4</v>
      </c>
      <c r="BK49" s="79">
        <v>5</v>
      </c>
      <c r="BL49" s="79">
        <v>6</v>
      </c>
      <c r="BM49" s="79">
        <v>6</v>
      </c>
      <c r="BN49" s="79">
        <v>5</v>
      </c>
      <c r="BO49" s="79">
        <v>5</v>
      </c>
      <c r="BP49" s="79">
        <v>10</v>
      </c>
      <c r="BQ49" s="79">
        <v>0</v>
      </c>
      <c r="BR49" s="79">
        <v>2</v>
      </c>
      <c r="BS49" s="79">
        <v>1</v>
      </c>
      <c r="BT49" s="79">
        <v>2</v>
      </c>
      <c r="BU49" s="79">
        <v>5</v>
      </c>
      <c r="BV49" s="79">
        <v>0</v>
      </c>
      <c r="BW49" s="79">
        <v>2</v>
      </c>
      <c r="BX49" s="79">
        <v>4</v>
      </c>
      <c r="BY49" s="79">
        <v>5</v>
      </c>
      <c r="BZ49" s="79">
        <v>2</v>
      </c>
      <c r="CA49" s="79">
        <v>7</v>
      </c>
      <c r="CB49" s="79">
        <v>5</v>
      </c>
      <c r="CC49" s="79">
        <v>3</v>
      </c>
      <c r="CD49" s="79">
        <v>3</v>
      </c>
      <c r="CE49" s="79">
        <v>1</v>
      </c>
      <c r="CF49" s="79">
        <v>1</v>
      </c>
      <c r="CG49" s="79">
        <v>2</v>
      </c>
      <c r="CH49" s="79">
        <v>2</v>
      </c>
      <c r="CI49" s="79">
        <v>0</v>
      </c>
      <c r="CJ49" s="79">
        <v>0</v>
      </c>
      <c r="CK49" s="79">
        <v>0</v>
      </c>
      <c r="CL49" s="79">
        <v>5</v>
      </c>
      <c r="CM49" s="79">
        <v>2</v>
      </c>
      <c r="CN49" s="79">
        <v>2</v>
      </c>
      <c r="CO49" s="79">
        <v>3</v>
      </c>
      <c r="CP49" s="79">
        <v>0</v>
      </c>
      <c r="CQ49" s="79">
        <v>0</v>
      </c>
      <c r="CR49" s="79">
        <v>3</v>
      </c>
      <c r="CS49" s="79">
        <v>2</v>
      </c>
      <c r="CT49" s="79">
        <v>6</v>
      </c>
      <c r="CU49" s="79">
        <v>1</v>
      </c>
      <c r="CV49" s="79">
        <v>6</v>
      </c>
      <c r="CW49" s="79">
        <v>1</v>
      </c>
      <c r="CX49" s="79">
        <v>1</v>
      </c>
      <c r="CY49" s="79">
        <v>0</v>
      </c>
      <c r="CZ49" s="79">
        <v>2</v>
      </c>
      <c r="DA49" s="79">
        <v>1</v>
      </c>
      <c r="DB49" s="79">
        <v>3</v>
      </c>
      <c r="DC49" s="79">
        <v>2</v>
      </c>
      <c r="DD49" s="79">
        <v>1</v>
      </c>
      <c r="DE49" s="79">
        <v>0</v>
      </c>
      <c r="DF49" s="79">
        <v>0</v>
      </c>
      <c r="DG49" s="79">
        <v>1</v>
      </c>
      <c r="DH49" s="79">
        <v>1</v>
      </c>
      <c r="DI49" s="79">
        <v>3</v>
      </c>
      <c r="DJ49" s="79">
        <v>2</v>
      </c>
      <c r="DK49" s="79">
        <v>0</v>
      </c>
      <c r="DL49" s="79">
        <v>1</v>
      </c>
      <c r="DM49" s="79">
        <v>0</v>
      </c>
      <c r="DN49" s="79">
        <v>0</v>
      </c>
      <c r="DO49" s="79">
        <v>0</v>
      </c>
      <c r="DP49" s="79">
        <v>0</v>
      </c>
      <c r="DQ49" s="79">
        <v>0</v>
      </c>
      <c r="DR49" s="79">
        <v>1</v>
      </c>
      <c r="DS49" s="79">
        <v>0</v>
      </c>
      <c r="DT49" s="79">
        <v>1</v>
      </c>
      <c r="DU49" s="79">
        <v>0</v>
      </c>
      <c r="DV49" s="79">
        <v>0</v>
      </c>
      <c r="DW49" s="79">
        <v>0</v>
      </c>
      <c r="DX49" s="79">
        <v>0</v>
      </c>
      <c r="DY49" s="79">
        <v>0</v>
      </c>
      <c r="DZ49" s="79">
        <v>0</v>
      </c>
      <c r="EA49" s="79">
        <v>0</v>
      </c>
      <c r="EB49" s="79">
        <v>0</v>
      </c>
      <c r="EC49" s="79">
        <v>0</v>
      </c>
      <c r="ED49" s="79">
        <v>0</v>
      </c>
      <c r="EE49" s="79">
        <v>0</v>
      </c>
      <c r="EF49" s="79">
        <v>0</v>
      </c>
      <c r="EG49" s="79">
        <v>0</v>
      </c>
      <c r="EH49" s="79">
        <v>0</v>
      </c>
      <c r="EI49" s="79">
        <v>0</v>
      </c>
      <c r="EJ49" s="79">
        <v>0</v>
      </c>
      <c r="EK49" s="79">
        <v>0</v>
      </c>
      <c r="EL49" s="79">
        <v>0</v>
      </c>
      <c r="EM49" s="79">
        <v>0</v>
      </c>
      <c r="EN49" s="79">
        <v>0</v>
      </c>
      <c r="EO49" s="79">
        <v>0</v>
      </c>
      <c r="EP49" s="79">
        <v>0</v>
      </c>
      <c r="EQ49" s="79">
        <v>0</v>
      </c>
      <c r="ER49" s="79">
        <v>0</v>
      </c>
      <c r="ES49" s="79">
        <v>0</v>
      </c>
      <c r="ET49" s="79">
        <v>0</v>
      </c>
      <c r="EU49" s="79">
        <v>0</v>
      </c>
      <c r="EV49" s="79">
        <v>1</v>
      </c>
      <c r="EW49" s="79">
        <v>0</v>
      </c>
      <c r="EX49" s="79">
        <v>0</v>
      </c>
      <c r="EY49" s="79">
        <v>0</v>
      </c>
      <c r="EZ49" s="79">
        <v>6</v>
      </c>
      <c r="FA49" s="79">
        <v>0</v>
      </c>
      <c r="FB49" s="79">
        <v>1</v>
      </c>
      <c r="FC49" s="79">
        <v>1</v>
      </c>
      <c r="FD49" s="79">
        <v>0</v>
      </c>
      <c r="FE49" s="79">
        <v>0</v>
      </c>
      <c r="FF49" s="79">
        <v>0</v>
      </c>
      <c r="FG49" s="79">
        <v>0</v>
      </c>
      <c r="FH49" s="79">
        <v>4</v>
      </c>
      <c r="FI49" s="79">
        <v>0</v>
      </c>
      <c r="FJ49" s="79">
        <v>0</v>
      </c>
      <c r="FK49" s="79">
        <v>0</v>
      </c>
    </row>
    <row r="50" spans="1:167" ht="15.75" customHeight="1" x14ac:dyDescent="0.35">
      <c r="A50" s="90" t="s">
        <v>43</v>
      </c>
      <c r="B50" s="82">
        <f t="shared" ref="B50:AS50" si="5">SUM(B35:B44)</f>
        <v>40</v>
      </c>
      <c r="C50" s="82">
        <f t="shared" si="5"/>
        <v>26</v>
      </c>
      <c r="D50" s="82">
        <f t="shared" si="5"/>
        <v>51</v>
      </c>
      <c r="E50" s="82">
        <f t="shared" si="5"/>
        <v>59</v>
      </c>
      <c r="F50" s="82">
        <f t="shared" si="5"/>
        <v>70</v>
      </c>
      <c r="G50" s="82">
        <f t="shared" si="5"/>
        <v>68</v>
      </c>
      <c r="H50" s="82">
        <f t="shared" si="5"/>
        <v>45</v>
      </c>
      <c r="I50" s="83">
        <f t="shared" si="5"/>
        <v>50</v>
      </c>
      <c r="J50" s="84">
        <f t="shared" si="5"/>
        <v>30</v>
      </c>
      <c r="K50" s="83">
        <f t="shared" si="5"/>
        <v>32</v>
      </c>
      <c r="L50" s="83">
        <f t="shared" si="5"/>
        <v>29</v>
      </c>
      <c r="M50" s="83">
        <f t="shared" si="5"/>
        <v>21</v>
      </c>
      <c r="N50" s="83">
        <f t="shared" si="5"/>
        <v>29</v>
      </c>
      <c r="O50" s="83">
        <f t="shared" si="5"/>
        <v>44</v>
      </c>
      <c r="P50" s="84">
        <f t="shared" si="5"/>
        <v>37</v>
      </c>
      <c r="Q50" s="84">
        <f t="shared" si="5"/>
        <v>25</v>
      </c>
      <c r="R50" s="84">
        <f t="shared" si="5"/>
        <v>27</v>
      </c>
      <c r="S50" s="84">
        <f t="shared" si="5"/>
        <v>44</v>
      </c>
      <c r="T50" s="84">
        <f t="shared" si="5"/>
        <v>101</v>
      </c>
      <c r="U50" s="84">
        <f t="shared" si="5"/>
        <v>93</v>
      </c>
      <c r="V50" s="84">
        <f t="shared" si="5"/>
        <v>35</v>
      </c>
      <c r="W50" s="84">
        <f t="shared" si="5"/>
        <v>83</v>
      </c>
      <c r="X50" s="84">
        <f t="shared" si="5"/>
        <v>99</v>
      </c>
      <c r="Y50" s="84">
        <f t="shared" si="5"/>
        <v>113</v>
      </c>
      <c r="Z50" s="84">
        <f t="shared" si="5"/>
        <v>184</v>
      </c>
      <c r="AA50" s="84">
        <f t="shared" si="5"/>
        <v>255</v>
      </c>
      <c r="AB50" s="84">
        <f t="shared" si="5"/>
        <v>96</v>
      </c>
      <c r="AC50" s="84">
        <f t="shared" si="5"/>
        <v>128</v>
      </c>
      <c r="AD50" s="84">
        <f t="shared" si="5"/>
        <v>127</v>
      </c>
      <c r="AE50" s="84">
        <f t="shared" si="5"/>
        <v>98</v>
      </c>
      <c r="AF50" s="84">
        <f t="shared" si="5"/>
        <v>114</v>
      </c>
      <c r="AG50" s="84">
        <f t="shared" si="5"/>
        <v>112</v>
      </c>
      <c r="AH50" s="84">
        <f t="shared" si="5"/>
        <v>127</v>
      </c>
      <c r="AI50" s="84">
        <f t="shared" si="5"/>
        <v>94</v>
      </c>
      <c r="AJ50" s="84">
        <f t="shared" si="5"/>
        <v>154</v>
      </c>
      <c r="AK50" s="84">
        <f t="shared" si="5"/>
        <v>137</v>
      </c>
      <c r="AL50" s="84">
        <f t="shared" si="5"/>
        <v>258</v>
      </c>
      <c r="AM50" s="84">
        <f t="shared" si="5"/>
        <v>287</v>
      </c>
      <c r="AN50" s="84">
        <f t="shared" si="5"/>
        <v>220</v>
      </c>
      <c r="AO50" s="84">
        <f t="shared" si="5"/>
        <v>186</v>
      </c>
      <c r="AP50" s="84">
        <f t="shared" si="5"/>
        <v>177</v>
      </c>
      <c r="AQ50" s="84">
        <f t="shared" si="5"/>
        <v>132</v>
      </c>
      <c r="AR50" s="84">
        <f t="shared" si="5"/>
        <v>168</v>
      </c>
      <c r="AS50" s="84">
        <f t="shared" si="5"/>
        <v>174</v>
      </c>
      <c r="AT50" s="84">
        <f t="shared" ref="AT50:BA50" si="6">SUM(AT39:AT49)</f>
        <v>21</v>
      </c>
      <c r="AU50" s="84">
        <f t="shared" si="6"/>
        <v>12</v>
      </c>
      <c r="AV50" s="84">
        <f t="shared" si="6"/>
        <v>33</v>
      </c>
      <c r="AW50" s="84">
        <f t="shared" si="6"/>
        <v>15</v>
      </c>
      <c r="AX50" s="84">
        <f t="shared" si="6"/>
        <v>0</v>
      </c>
      <c r="AY50" s="84">
        <f t="shared" si="6"/>
        <v>26</v>
      </c>
      <c r="AZ50" s="84">
        <f t="shared" si="6"/>
        <v>24</v>
      </c>
      <c r="BA50" s="84">
        <f t="shared" si="6"/>
        <v>14</v>
      </c>
      <c r="BB50" s="84">
        <v>42</v>
      </c>
      <c r="BC50" s="84">
        <v>62</v>
      </c>
      <c r="BD50" s="84">
        <v>45</v>
      </c>
      <c r="BE50" s="84">
        <v>43</v>
      </c>
      <c r="BF50" s="84">
        <v>42</v>
      </c>
      <c r="BG50" s="84">
        <v>38</v>
      </c>
      <c r="BH50" s="84">
        <v>28</v>
      </c>
      <c r="BI50" s="84">
        <v>31</v>
      </c>
      <c r="BJ50" s="84">
        <f>SUM(BJ39:BJ49)</f>
        <v>27</v>
      </c>
      <c r="BK50" s="84">
        <f>SUM(BK39:BK49)</f>
        <v>18</v>
      </c>
      <c r="BL50" s="84">
        <f>SUM(BL39:BL49)</f>
        <v>37</v>
      </c>
      <c r="BM50" s="84">
        <f>SUM(BM39:BM49)</f>
        <v>20</v>
      </c>
      <c r="BN50" s="84">
        <v>25</v>
      </c>
      <c r="BO50" s="84">
        <f>SUM(BO39:BO49)</f>
        <v>23</v>
      </c>
      <c r="BP50" s="84">
        <v>32</v>
      </c>
      <c r="BQ50" s="84">
        <v>32</v>
      </c>
      <c r="BR50" s="84">
        <v>46</v>
      </c>
      <c r="BS50" s="84">
        <v>16</v>
      </c>
      <c r="BT50" s="84">
        <v>34</v>
      </c>
      <c r="BU50" s="84">
        <v>42</v>
      </c>
      <c r="BV50" s="84">
        <v>25</v>
      </c>
      <c r="BW50" s="84">
        <v>32</v>
      </c>
      <c r="BX50" s="84">
        <v>25</v>
      </c>
      <c r="BY50" s="84">
        <v>41</v>
      </c>
      <c r="BZ50" s="84">
        <v>29</v>
      </c>
      <c r="CA50" s="84">
        <v>19</v>
      </c>
      <c r="CB50" s="84">
        <v>19</v>
      </c>
      <c r="CC50" s="84">
        <v>17</v>
      </c>
      <c r="CD50" s="84">
        <v>26</v>
      </c>
      <c r="CE50" s="84">
        <v>12</v>
      </c>
      <c r="CF50" s="84">
        <v>5</v>
      </c>
      <c r="CG50" s="84">
        <v>7</v>
      </c>
      <c r="CH50" s="84">
        <v>9</v>
      </c>
      <c r="CI50" s="84">
        <v>4</v>
      </c>
      <c r="CJ50" s="84">
        <v>1</v>
      </c>
      <c r="CK50" s="84">
        <v>1</v>
      </c>
      <c r="CL50" s="84">
        <v>30</v>
      </c>
      <c r="CM50" s="84">
        <v>23</v>
      </c>
      <c r="CN50" s="84">
        <v>18</v>
      </c>
      <c r="CO50" s="84">
        <v>19</v>
      </c>
      <c r="CP50" s="84">
        <v>22</v>
      </c>
      <c r="CQ50" s="84">
        <v>18</v>
      </c>
      <c r="CR50" s="84">
        <v>22</v>
      </c>
      <c r="CS50" s="84">
        <v>15</v>
      </c>
      <c r="CT50" s="84">
        <v>18</v>
      </c>
      <c r="CU50" s="84">
        <v>19</v>
      </c>
      <c r="CV50" s="84">
        <v>32</v>
      </c>
      <c r="CW50" s="84">
        <v>36</v>
      </c>
      <c r="CX50" s="84">
        <v>34</v>
      </c>
      <c r="CY50" s="84">
        <v>22</v>
      </c>
      <c r="CZ50" s="84">
        <v>22</v>
      </c>
      <c r="DA50" s="84">
        <v>10</v>
      </c>
      <c r="DB50" s="84">
        <v>11</v>
      </c>
      <c r="DC50" s="84">
        <v>24</v>
      </c>
      <c r="DD50" s="84">
        <v>26</v>
      </c>
      <c r="DE50" s="84">
        <v>25</v>
      </c>
      <c r="DF50" s="84">
        <v>18</v>
      </c>
      <c r="DG50" s="84">
        <v>37</v>
      </c>
      <c r="DH50" s="84">
        <v>50</v>
      </c>
      <c r="DI50" s="84">
        <v>34</v>
      </c>
      <c r="DJ50" s="84">
        <v>27</v>
      </c>
      <c r="DK50" s="84">
        <v>22</v>
      </c>
      <c r="DL50" s="84">
        <v>53</v>
      </c>
      <c r="DM50" s="84">
        <v>40</v>
      </c>
      <c r="DN50" s="84">
        <v>26</v>
      </c>
      <c r="DO50" s="84">
        <v>29</v>
      </c>
      <c r="DP50" s="84">
        <v>33</v>
      </c>
      <c r="DQ50" s="84">
        <v>27</v>
      </c>
      <c r="DR50" s="84">
        <v>34</v>
      </c>
      <c r="DS50" s="84">
        <v>32</v>
      </c>
      <c r="DT50" s="84">
        <v>31</v>
      </c>
      <c r="DU50" s="84">
        <v>58</v>
      </c>
      <c r="DV50" s="84">
        <v>55</v>
      </c>
      <c r="DW50" s="84">
        <v>37</v>
      </c>
      <c r="DX50" s="84">
        <v>29</v>
      </c>
      <c r="DY50" s="84">
        <v>39</v>
      </c>
      <c r="DZ50" s="84">
        <v>39</v>
      </c>
      <c r="EA50" s="84">
        <v>45</v>
      </c>
      <c r="EB50" s="84">
        <v>23</v>
      </c>
      <c r="EC50" s="84">
        <v>52</v>
      </c>
      <c r="ED50" s="84">
        <v>73</v>
      </c>
      <c r="EE50" s="84">
        <v>26</v>
      </c>
      <c r="EF50" s="84">
        <v>23</v>
      </c>
      <c r="EG50" s="84">
        <v>20</v>
      </c>
      <c r="EH50" s="84">
        <v>36</v>
      </c>
      <c r="EI50" s="84">
        <v>24</v>
      </c>
      <c r="EJ50" s="84">
        <v>5</v>
      </c>
      <c r="EK50" s="84">
        <v>7</v>
      </c>
      <c r="EL50" s="84">
        <v>36</v>
      </c>
      <c r="EM50" s="84">
        <v>36</v>
      </c>
      <c r="EN50" s="84">
        <v>60</v>
      </c>
      <c r="EO50" s="84">
        <v>39</v>
      </c>
      <c r="EP50" s="84">
        <v>47</v>
      </c>
      <c r="EQ50" s="84">
        <v>56</v>
      </c>
      <c r="ER50" s="84">
        <v>60</v>
      </c>
      <c r="ES50" s="84">
        <v>41</v>
      </c>
      <c r="ET50" s="84">
        <v>63</v>
      </c>
      <c r="EU50" s="84">
        <v>49</v>
      </c>
      <c r="EV50" s="84">
        <v>38</v>
      </c>
      <c r="EW50" s="84">
        <v>31</v>
      </c>
      <c r="EX50" s="84">
        <v>41</v>
      </c>
      <c r="EY50" s="84">
        <v>35</v>
      </c>
      <c r="EZ50" s="84">
        <v>65</v>
      </c>
      <c r="FA50" s="84">
        <v>67</v>
      </c>
      <c r="FB50" s="84">
        <v>41</v>
      </c>
      <c r="FC50" s="84">
        <v>56</v>
      </c>
      <c r="FD50" s="84">
        <v>63</v>
      </c>
      <c r="FE50" s="84">
        <v>64</v>
      </c>
      <c r="FF50" s="84">
        <v>31</v>
      </c>
      <c r="FG50" s="84">
        <v>52</v>
      </c>
      <c r="FH50" s="84">
        <v>93</v>
      </c>
      <c r="FI50" s="84">
        <f>SUM(FI39:FI49)</f>
        <v>66</v>
      </c>
      <c r="FJ50" s="84">
        <f>SUM(FJ39:FJ49)</f>
        <v>55</v>
      </c>
      <c r="FK50" s="84">
        <v>36</v>
      </c>
    </row>
  </sheetData>
  <phoneticPr fontId="7" type="noConversion"/>
  <conditionalFormatting sqref="A9">
    <cfRule type="duplicateValues" dxfId="2" priority="1"/>
  </conditionalFormatting>
  <conditionalFormatting sqref="A24:A25">
    <cfRule type="duplicateValues" dxfId="1" priority="2"/>
  </conditionalFormatting>
  <conditionalFormatting sqref="A35 A21:A23 A26:A33">
    <cfRule type="duplicateValues" dxfId="0" priority="146"/>
  </conditionalFormatting>
  <conditionalFormatting sqref="E18:F18">
    <cfRule type="iconSet" priority="114">
      <iconSet iconSet="3ArrowsGray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horizontalDpi="90" verticalDpi="9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64" id="{D6C40D3F-8720-4FB1-B4B2-E3EE4B0F9047}">
            <x14:iconSet iconSet="3ArrowsGray" custom="1">
              <x14:cfvo type="percent">
                <xm:f>0</xm:f>
              </x14:cfvo>
              <x14:cfvo type="num">
                <xm:f>0</xm:f>
              </x14:cfvo>
              <x14:cfvo type="num" gte="0">
                <xm:f>$D$6</xm:f>
              </x14:cfvo>
              <x14:cfIcon iconSet="NoIcons" iconId="0"/>
              <x14:cfIcon iconSet="NoIcons" iconId="0"/>
              <x14:cfIcon iconSet="3ArrowsGray" iconId="2"/>
            </x14:iconSet>
          </x14:cfRule>
          <xm:sqref>E2:E5</xm:sqref>
        </x14:conditionalFormatting>
        <x14:conditionalFormatting xmlns:xm="http://schemas.microsoft.com/office/excel/2006/main">
          <x14:cfRule type="iconSet" priority="148" id="{CD694F70-4469-4D6C-8D69-77D9EB52C142}">
            <x14:iconSet iconSet="3ArrowsGray" custom="1">
              <x14:cfvo type="percent">
                <xm:f>0</xm:f>
              </x14:cfvo>
              <x14:cfvo type="num">
                <xm:f>0</xm:f>
              </x14:cfvo>
              <x14:cfvo type="num" gte="0">
                <xm:f>$D$6</xm:f>
              </x14:cfvo>
              <x14:cfIcon iconSet="NoIcons" iconId="0"/>
              <x14:cfIcon iconSet="NoIcons" iconId="0"/>
              <x14:cfIcon iconSet="3ArrowsGray" iconId="2"/>
            </x14:iconSet>
          </x14:cfRule>
          <xm:sqref>E17 E6:E10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FEED3512B5484189C98B50B0927B04" ma:contentTypeVersion="11" ma:contentTypeDescription="Create a new document." ma:contentTypeScope="" ma:versionID="223350ad6e2ae3ee2dbf53c7d0907d73">
  <xsd:schema xmlns:xsd="http://www.w3.org/2001/XMLSchema" xmlns:xs="http://www.w3.org/2001/XMLSchema" xmlns:p="http://schemas.microsoft.com/office/2006/metadata/properties" xmlns:ns3="c9110d98-f450-42da-a297-baf2f449e6cb" targetNamespace="http://schemas.microsoft.com/office/2006/metadata/properties" ma:root="true" ma:fieldsID="fc1ae3cfbf85ffb2fbdbc7da1d40568c" ns3:_="">
    <xsd:import namespace="c9110d98-f450-42da-a297-baf2f449e6c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110d98-f450-42da-a297-baf2f449e6c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9110d98-f450-42da-a297-baf2f449e6cb" xsi:nil="true"/>
  </documentManagement>
</p:properties>
</file>

<file path=customXml/itemProps1.xml><?xml version="1.0" encoding="utf-8"?>
<ds:datastoreItem xmlns:ds="http://schemas.openxmlformats.org/officeDocument/2006/customXml" ds:itemID="{54FFC316-F7F9-4581-BF32-F397063BC8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978BE4-D5FD-4E8C-9242-2B60503D56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110d98-f450-42da-a297-baf2f449e6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ED221F-3F3A-45DB-B3F1-27DAAB97EEB5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elements/1.1/"/>
    <ds:schemaRef ds:uri="c9110d98-f450-42da-a297-baf2f449e6cb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NOC INC - Response &amp; Resolution</vt:lpstr>
      <vt:lpstr>SOC INC- Response &amp; Resolutio</vt:lpstr>
      <vt:lpstr>Volumetric trends INC &amp; RITM</vt:lpstr>
      <vt:lpstr>Created</vt:lpstr>
      <vt:lpstr>Pending Counts</vt:lpstr>
      <vt:lpstr>Volumetric Change details</vt:lpstr>
      <vt:lpstr>Business Services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Gorla, Mahesh Kumar (Cognizant)</cp:lastModifiedBy>
  <cp:revision/>
  <dcterms:created xsi:type="dcterms:W3CDTF">2021-01-07T14:54:39Z</dcterms:created>
  <dcterms:modified xsi:type="dcterms:W3CDTF">2025-08-04T10:43:06Z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0x0101000CFEED3512B5484189C98B50B0927B04</vt:lpwstr>
  </property>
  <property fmtid="{D5CDD505-2E9C-101B-9397-08002B2CF9AE}" pid="3" name="MediaServiceImageTags">
    <vt:lpwstr/>
  </property>
</Properties>
</file>